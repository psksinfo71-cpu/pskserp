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KS\OneDrive\Documents\"/>
    </mc:Choice>
  </mc:AlternateContent>
  <xr:revisionPtr revIDLastSave="0" documentId="8_{D4F3F9CA-8A4D-445F-A9F2-70E9A7717617}" xr6:coauthVersionLast="47" xr6:coauthVersionMax="47" xr10:uidLastSave="{00000000-0000-0000-0000-000000000000}"/>
  <bookViews>
    <workbookView xWindow="-110" yWindow="-110" windowWidth="19420" windowHeight="10300" xr2:uid="{0678F643-29C7-4117-A113-DC2EA0D44E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  <c r="I23" i="1"/>
  <c r="I22" i="1"/>
  <c r="I21" i="1"/>
  <c r="I20" i="1"/>
  <c r="I19" i="1"/>
  <c r="I18" i="1"/>
  <c r="I17" i="1"/>
  <c r="I16" i="1"/>
  <c r="G25" i="1"/>
  <c r="F25" i="1"/>
  <c r="D25" i="1"/>
  <c r="C25" i="1"/>
  <c r="H24" i="1"/>
  <c r="H23" i="1"/>
  <c r="H22" i="1"/>
  <c r="H21" i="1"/>
  <c r="H20" i="1"/>
  <c r="H19" i="1"/>
  <c r="H18" i="1"/>
  <c r="H17" i="1"/>
  <c r="H16" i="1"/>
  <c r="H12" i="1"/>
  <c r="F12" i="1"/>
  <c r="E12" i="1"/>
  <c r="I11" i="1"/>
  <c r="I10" i="1"/>
  <c r="I9" i="1"/>
  <c r="I8" i="1"/>
  <c r="I7" i="1"/>
  <c r="G6" i="1"/>
  <c r="I5" i="1"/>
  <c r="I4" i="1"/>
  <c r="I3" i="1"/>
  <c r="I25" i="1" l="1"/>
  <c r="H25" i="1"/>
  <c r="G12" i="1"/>
  <c r="I6" i="1"/>
  <c r="I12" i="1" s="1"/>
</calcChain>
</file>

<file path=xl/sharedStrings.xml><?xml version="1.0" encoding="utf-8"?>
<sst xmlns="http://schemas.openxmlformats.org/spreadsheetml/2006/main" count="40" uniqueCount="26">
  <si>
    <t>#</t>
  </si>
  <si>
    <t>Particulars</t>
  </si>
  <si>
    <t>Land</t>
  </si>
  <si>
    <t>Bulding</t>
  </si>
  <si>
    <t>Furniture &amp; Fixture</t>
  </si>
  <si>
    <t>Office Equipment</t>
  </si>
  <si>
    <t>Husking Mill</t>
  </si>
  <si>
    <t>Books &amp; Periodicals</t>
  </si>
  <si>
    <t>Vehicles</t>
  </si>
  <si>
    <t>Computer Equipments</t>
  </si>
  <si>
    <t>Medical Equipments</t>
  </si>
  <si>
    <t>Total Taka:</t>
  </si>
  <si>
    <t>VALUE AT COST</t>
  </si>
  <si>
    <t>Adjustment</t>
  </si>
  <si>
    <t>Sl No.</t>
  </si>
  <si>
    <t>Opening Balance
01.07.2025</t>
  </si>
  <si>
    <t>Tranferred from Project</t>
  </si>
  <si>
    <t>Addition for
the Year</t>
  </si>
  <si>
    <t>Adjustment
for the Year</t>
  </si>
  <si>
    <t>Total Cost
30.06.2026</t>
  </si>
  <si>
    <t>D E P R E C I A T I O N</t>
  </si>
  <si>
    <t>Rate</t>
  </si>
  <si>
    <t>For the Year</t>
  </si>
  <si>
    <t>Accumulated
30.06.2026</t>
  </si>
  <si>
    <t>Written Down Value
30.06.2026</t>
  </si>
  <si>
    <t>Opening Balance
30.06.2025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</si>
</sst>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6" xfId="0" applyFont="1" applyBorder="1"/>
    <xf numFmtId="0" fontId="2" fillId="0" borderId="6" xfId="0" applyFont="1" applyBorder="1" applyAlignment="1">
      <alignment horizontal="right"/>
    </xf>
    <xf numFmtId="0" fontId="3" fillId="0" borderId="8" xfId="0" applyFont="1" applyBorder="1"/>
    <xf numFmtId="0" fontId="2" fillId="0" borderId="8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164" fontId="4" fillId="0" borderId="3" xfId="1" applyNumberFormat="1" applyFont="1" applyBorder="1" applyAlignment="1">
      <alignment horizontal="right" vertical="center" wrapText="1"/>
    </xf>
    <xf numFmtId="164" fontId="2" fillId="0" borderId="2" xfId="1" applyNumberFormat="1" applyFont="1" applyBorder="1"/>
    <xf numFmtId="0" fontId="2" fillId="0" borderId="8" xfId="0" applyFont="1" applyBorder="1" applyAlignment="1">
      <alignment horizontal="center"/>
    </xf>
    <xf numFmtId="164" fontId="2" fillId="0" borderId="3" xfId="1" applyNumberFormat="1" applyFont="1" applyBorder="1"/>
    <xf numFmtId="0" fontId="2" fillId="0" borderId="10" xfId="0" applyFont="1" applyBorder="1" applyAlignment="1">
      <alignment horizontal="center"/>
    </xf>
    <xf numFmtId="164" fontId="3" fillId="0" borderId="3" xfId="1" applyNumberFormat="1" applyFont="1" applyBorder="1"/>
    <xf numFmtId="164" fontId="2" fillId="0" borderId="3" xfId="1" applyNumberFormat="1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3" fillId="0" borderId="3" xfId="1" applyNumberFormat="1" applyFont="1" applyFill="1" applyBorder="1" applyAlignment="1">
      <alignment horizontal="left"/>
    </xf>
    <xf numFmtId="9" fontId="3" fillId="0" borderId="3" xfId="0" applyNumberFormat="1" applyFont="1" applyBorder="1" applyAlignment="1">
      <alignment horizontal="center"/>
    </xf>
    <xf numFmtId="164" fontId="3" fillId="0" borderId="3" xfId="1" applyNumberFormat="1" applyFont="1" applyFill="1" applyBorder="1"/>
    <xf numFmtId="164" fontId="3" fillId="0" borderId="6" xfId="1" applyNumberFormat="1" applyFont="1" applyFill="1" applyBorder="1" applyAlignment="1">
      <alignment horizontal="left"/>
    </xf>
    <xf numFmtId="9" fontId="3" fillId="0" borderId="6" xfId="0" applyNumberFormat="1" applyFont="1" applyBorder="1" applyAlignment="1">
      <alignment horizontal="center"/>
    </xf>
    <xf numFmtId="164" fontId="3" fillId="0" borderId="6" xfId="1" applyNumberFormat="1" applyFont="1" applyFill="1" applyBorder="1"/>
    <xf numFmtId="164" fontId="2" fillId="0" borderId="6" xfId="1" applyNumberFormat="1" applyFont="1" applyFill="1" applyBorder="1" applyAlignment="1">
      <alignment horizontal="right"/>
    </xf>
    <xf numFmtId="164" fontId="2" fillId="0" borderId="3" xfId="1" applyNumberFormat="1" applyFont="1" applyFill="1" applyBorder="1" applyAlignment="1">
      <alignment horizontal="right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14F0-28C8-45A2-B540-6F36E31DBF73}">
  <dimension ref="A1:I25"/>
  <sheetViews>
    <sheetView tabSelected="1" zoomScale="55" zoomScaleNormal="55" workbookViewId="0">
      <selection activeCell="K19" sqref="K19"/>
    </sheetView>
  </sheetViews>
  <sheetFormatPr defaultRowHeight="14.5" x14ac:dyDescent="0.35"/>
  <cols>
    <col min="1" max="1" width="4" bestFit="1" customWidth="1"/>
    <col min="2" max="2" width="20.453125" bestFit="1" customWidth="1"/>
    <col min="3" max="3" width="20.453125" customWidth="1"/>
    <col min="4" max="4" width="21.6328125" bestFit="1" customWidth="1"/>
    <col min="5" max="5" width="14.7265625" customWidth="1"/>
    <col min="6" max="6" width="14.26953125" customWidth="1"/>
    <col min="7" max="7" width="15.7265625" customWidth="1"/>
    <col min="8" max="9" width="13.26953125" bestFit="1" customWidth="1"/>
    <col min="10" max="10" width="13.1796875" bestFit="1" customWidth="1"/>
  </cols>
  <sheetData>
    <row r="1" spans="1:9" x14ac:dyDescent="0.35">
      <c r="A1" s="36" t="s">
        <v>14</v>
      </c>
      <c r="B1" s="21" t="s">
        <v>1</v>
      </c>
      <c r="C1" s="38"/>
      <c r="D1" s="22"/>
      <c r="E1" s="18" t="s">
        <v>12</v>
      </c>
      <c r="F1" s="19"/>
      <c r="G1" s="19"/>
      <c r="H1" s="19"/>
      <c r="I1" s="20"/>
    </row>
    <row r="2" spans="1:9" ht="42" x14ac:dyDescent="0.35">
      <c r="A2" s="36"/>
      <c r="B2" s="16"/>
      <c r="C2" s="39"/>
      <c r="D2" s="17"/>
      <c r="E2" s="23" t="s">
        <v>15</v>
      </c>
      <c r="F2" s="23" t="s">
        <v>16</v>
      </c>
      <c r="G2" s="23" t="s">
        <v>17</v>
      </c>
      <c r="H2" s="23" t="s">
        <v>18</v>
      </c>
      <c r="I2" s="24" t="s">
        <v>19</v>
      </c>
    </row>
    <row r="3" spans="1:9" ht="15.5" x14ac:dyDescent="0.35">
      <c r="A3" s="1">
        <v>1</v>
      </c>
      <c r="B3" s="3" t="s">
        <v>2</v>
      </c>
      <c r="C3" s="5"/>
      <c r="D3" s="5"/>
      <c r="E3" s="9">
        <v>472082</v>
      </c>
      <c r="F3" s="9">
        <v>0</v>
      </c>
      <c r="G3" s="9">
        <v>0</v>
      </c>
      <c r="H3" s="9">
        <v>0</v>
      </c>
      <c r="I3" s="14">
        <f>E3+F3+G3-H3</f>
        <v>472082</v>
      </c>
    </row>
    <row r="4" spans="1:9" ht="15.5" x14ac:dyDescent="0.35">
      <c r="A4" s="1">
        <v>2</v>
      </c>
      <c r="B4" s="3" t="s">
        <v>3</v>
      </c>
      <c r="C4" s="5"/>
      <c r="D4" s="5"/>
      <c r="E4" s="9">
        <v>9405860</v>
      </c>
      <c r="F4" s="9">
        <v>0</v>
      </c>
      <c r="G4" s="9">
        <v>0</v>
      </c>
      <c r="H4" s="9">
        <v>0</v>
      </c>
      <c r="I4" s="14">
        <f t="shared" ref="I4:I11" si="0">E4+F4+G4-H4</f>
        <v>9405860</v>
      </c>
    </row>
    <row r="5" spans="1:9" ht="15.5" x14ac:dyDescent="0.35">
      <c r="A5" s="1">
        <v>3</v>
      </c>
      <c r="B5" s="3" t="s">
        <v>4</v>
      </c>
      <c r="C5" s="5"/>
      <c r="D5" s="5"/>
      <c r="E5" s="9">
        <v>2109641</v>
      </c>
      <c r="F5" s="9">
        <v>275629</v>
      </c>
      <c r="G5" s="9">
        <v>0</v>
      </c>
      <c r="H5" s="9">
        <v>17565</v>
      </c>
      <c r="I5" s="14">
        <f>E5+F5+G5-H5</f>
        <v>2367705</v>
      </c>
    </row>
    <row r="6" spans="1:9" ht="15.5" x14ac:dyDescent="0.35">
      <c r="A6" s="1">
        <v>4</v>
      </c>
      <c r="B6" s="3" t="s">
        <v>5</v>
      </c>
      <c r="C6" s="5"/>
      <c r="D6" s="5"/>
      <c r="E6" s="9">
        <v>2646442</v>
      </c>
      <c r="F6" s="9">
        <v>1149209</v>
      </c>
      <c r="G6" s="9">
        <f>10061+54520+8020+178660</f>
        <v>251261</v>
      </c>
      <c r="H6" s="9">
        <v>716224</v>
      </c>
      <c r="I6" s="14">
        <f t="shared" si="0"/>
        <v>3330688</v>
      </c>
    </row>
    <row r="7" spans="1:9" ht="15.5" x14ac:dyDescent="0.35">
      <c r="A7" s="1">
        <v>5</v>
      </c>
      <c r="B7" s="3" t="s">
        <v>6</v>
      </c>
      <c r="C7" s="5"/>
      <c r="D7" s="5"/>
      <c r="E7" s="9">
        <v>231696</v>
      </c>
      <c r="F7" s="9">
        <v>0</v>
      </c>
      <c r="G7" s="9">
        <v>0</v>
      </c>
      <c r="H7" s="9">
        <v>0</v>
      </c>
      <c r="I7" s="14">
        <f t="shared" si="0"/>
        <v>231696</v>
      </c>
    </row>
    <row r="8" spans="1:9" ht="15.5" x14ac:dyDescent="0.35">
      <c r="A8" s="1">
        <v>6</v>
      </c>
      <c r="B8" s="3" t="s">
        <v>7</v>
      </c>
      <c r="C8" s="5"/>
      <c r="D8" s="5"/>
      <c r="E8" s="9">
        <v>69267</v>
      </c>
      <c r="F8" s="9">
        <v>0</v>
      </c>
      <c r="G8" s="9">
        <v>0</v>
      </c>
      <c r="H8" s="9">
        <v>0</v>
      </c>
      <c r="I8" s="14">
        <f t="shared" si="0"/>
        <v>69267</v>
      </c>
    </row>
    <row r="9" spans="1:9" ht="15.5" x14ac:dyDescent="0.35">
      <c r="A9" s="1">
        <v>7</v>
      </c>
      <c r="B9" s="3" t="s">
        <v>8</v>
      </c>
      <c r="C9" s="5"/>
      <c r="D9" s="5"/>
      <c r="E9" s="9">
        <v>1119400</v>
      </c>
      <c r="F9" s="9">
        <v>600000</v>
      </c>
      <c r="G9" s="9">
        <v>0</v>
      </c>
      <c r="H9" s="9">
        <v>400000</v>
      </c>
      <c r="I9" s="14">
        <f t="shared" si="0"/>
        <v>1319400</v>
      </c>
    </row>
    <row r="10" spans="1:9" ht="15.5" x14ac:dyDescent="0.35">
      <c r="A10" s="1">
        <v>8</v>
      </c>
      <c r="B10" s="3" t="s">
        <v>9</v>
      </c>
      <c r="C10" s="5"/>
      <c r="D10" s="5"/>
      <c r="E10" s="9">
        <v>1848459</v>
      </c>
      <c r="F10" s="9">
        <v>253412</v>
      </c>
      <c r="G10" s="9">
        <v>0</v>
      </c>
      <c r="H10" s="9">
        <v>92958</v>
      </c>
      <c r="I10" s="14">
        <f t="shared" si="0"/>
        <v>2008913</v>
      </c>
    </row>
    <row r="11" spans="1:9" ht="15.5" x14ac:dyDescent="0.35">
      <c r="A11" s="1">
        <v>9</v>
      </c>
      <c r="B11" s="3" t="s">
        <v>10</v>
      </c>
      <c r="C11" s="5"/>
      <c r="D11" s="5"/>
      <c r="E11" s="9">
        <v>0</v>
      </c>
      <c r="F11" s="9">
        <v>0</v>
      </c>
      <c r="G11" s="9">
        <v>0</v>
      </c>
      <c r="H11" s="9">
        <v>0</v>
      </c>
      <c r="I11" s="14">
        <f t="shared" si="0"/>
        <v>0</v>
      </c>
    </row>
    <row r="12" spans="1:9" x14ac:dyDescent="0.35">
      <c r="A12" s="2" t="s">
        <v>0</v>
      </c>
      <c r="B12" s="4" t="s">
        <v>11</v>
      </c>
      <c r="C12" s="6"/>
      <c r="D12" s="7"/>
      <c r="E12" s="10">
        <f>SUM(E3:E11)</f>
        <v>17902847</v>
      </c>
      <c r="F12" s="12">
        <f>SUM(F3:F11)</f>
        <v>2278250</v>
      </c>
      <c r="G12" s="10">
        <f>SUM(G3:G11)</f>
        <v>251261</v>
      </c>
      <c r="H12" s="12">
        <f>SUM(H3:H11)</f>
        <v>1226747</v>
      </c>
      <c r="I12" s="15">
        <f>SUM(I3:I11)</f>
        <v>19205611</v>
      </c>
    </row>
    <row r="14" spans="1:9" x14ac:dyDescent="0.35">
      <c r="A14" s="36" t="s">
        <v>14</v>
      </c>
      <c r="B14" s="33" t="s">
        <v>1</v>
      </c>
      <c r="C14" s="8" t="s">
        <v>20</v>
      </c>
      <c r="D14" s="11"/>
      <c r="E14" s="11"/>
      <c r="F14" s="11"/>
      <c r="G14" s="11"/>
      <c r="H14" s="13"/>
      <c r="I14" s="36" t="s">
        <v>24</v>
      </c>
    </row>
    <row r="15" spans="1:9" s="34" customFormat="1" ht="42.5" customHeight="1" x14ac:dyDescent="0.35">
      <c r="A15" s="36"/>
      <c r="B15" s="33"/>
      <c r="C15" s="23" t="s">
        <v>25</v>
      </c>
      <c r="D15" s="23" t="s">
        <v>16</v>
      </c>
      <c r="E15" s="37" t="s">
        <v>21</v>
      </c>
      <c r="F15" s="37" t="s">
        <v>22</v>
      </c>
      <c r="G15" s="37" t="s">
        <v>13</v>
      </c>
      <c r="H15" s="23" t="s">
        <v>23</v>
      </c>
      <c r="I15" s="36"/>
    </row>
    <row r="16" spans="1:9" x14ac:dyDescent="0.35">
      <c r="A16" s="1">
        <v>1</v>
      </c>
      <c r="B16" s="3" t="s">
        <v>2</v>
      </c>
      <c r="C16" s="25">
        <v>0</v>
      </c>
      <c r="D16" s="25">
        <v>0</v>
      </c>
      <c r="E16" s="26">
        <v>0</v>
      </c>
      <c r="F16" s="27">
        <v>0</v>
      </c>
      <c r="G16" s="27">
        <v>0</v>
      </c>
      <c r="H16" s="27">
        <f t="shared" ref="H16:H24" si="1">C16+D16+F16-G16</f>
        <v>0</v>
      </c>
      <c r="I16" s="27">
        <f>I3-H16</f>
        <v>472082</v>
      </c>
    </row>
    <row r="17" spans="1:9" x14ac:dyDescent="0.35">
      <c r="A17" s="1">
        <v>2</v>
      </c>
      <c r="B17" s="3" t="s">
        <v>3</v>
      </c>
      <c r="C17" s="25">
        <v>8534414.3000000007</v>
      </c>
      <c r="D17" s="25">
        <v>0</v>
      </c>
      <c r="E17" s="26">
        <v>0.05</v>
      </c>
      <c r="F17" s="27">
        <v>43572</v>
      </c>
      <c r="G17" s="27">
        <v>0</v>
      </c>
      <c r="H17" s="27">
        <f>C17+D17+F17-G17</f>
        <v>8577986.3000000007</v>
      </c>
      <c r="I17" s="27">
        <f t="shared" ref="I17:I24" si="2">I4-H17</f>
        <v>827873.69999999925</v>
      </c>
    </row>
    <row r="18" spans="1:9" x14ac:dyDescent="0.35">
      <c r="A18" s="1">
        <v>3</v>
      </c>
      <c r="B18" s="3" t="s">
        <v>4</v>
      </c>
      <c r="C18" s="25">
        <v>1245411.68</v>
      </c>
      <c r="D18" s="25">
        <v>66358.570000000007</v>
      </c>
      <c r="E18" s="26">
        <v>0.1</v>
      </c>
      <c r="F18" s="27">
        <v>86423</v>
      </c>
      <c r="G18" s="27">
        <v>11127</v>
      </c>
      <c r="H18" s="27">
        <f t="shared" si="1"/>
        <v>1387066.25</v>
      </c>
      <c r="I18" s="27">
        <f t="shared" si="2"/>
        <v>980638.75</v>
      </c>
    </row>
    <row r="19" spans="1:9" x14ac:dyDescent="0.35">
      <c r="A19" s="1">
        <v>4</v>
      </c>
      <c r="B19" s="3" t="s">
        <v>5</v>
      </c>
      <c r="C19" s="25">
        <v>1785286.45</v>
      </c>
      <c r="D19" s="25">
        <v>274288.94</v>
      </c>
      <c r="E19" s="26">
        <v>0.1</v>
      </c>
      <c r="F19" s="27">
        <v>91577</v>
      </c>
      <c r="G19" s="27">
        <v>283555</v>
      </c>
      <c r="H19" s="27">
        <f t="shared" si="1"/>
        <v>1867597.3899999997</v>
      </c>
      <c r="I19" s="27">
        <f t="shared" si="2"/>
        <v>1463090.6100000003</v>
      </c>
    </row>
    <row r="20" spans="1:9" x14ac:dyDescent="0.35">
      <c r="A20" s="1">
        <v>5</v>
      </c>
      <c r="B20" s="3" t="s">
        <v>6</v>
      </c>
      <c r="C20" s="25">
        <v>230605.02499999999</v>
      </c>
      <c r="D20" s="25">
        <v>0</v>
      </c>
      <c r="E20" s="26">
        <v>0.15</v>
      </c>
      <c r="F20" s="27">
        <v>164</v>
      </c>
      <c r="G20" s="27">
        <v>0</v>
      </c>
      <c r="H20" s="27">
        <f t="shared" si="1"/>
        <v>230769.02499999999</v>
      </c>
      <c r="I20" s="27">
        <f t="shared" si="2"/>
        <v>926.97500000000582</v>
      </c>
    </row>
    <row r="21" spans="1:9" x14ac:dyDescent="0.35">
      <c r="A21" s="1">
        <v>6</v>
      </c>
      <c r="B21" s="3" t="s">
        <v>7</v>
      </c>
      <c r="C21" s="25">
        <v>65429.22</v>
      </c>
      <c r="D21" s="25">
        <v>0</v>
      </c>
      <c r="E21" s="26">
        <v>0.1</v>
      </c>
      <c r="F21" s="27">
        <v>959</v>
      </c>
      <c r="G21" s="27">
        <v>0</v>
      </c>
      <c r="H21" s="27">
        <f t="shared" si="1"/>
        <v>66388.22</v>
      </c>
      <c r="I21" s="27">
        <f t="shared" si="2"/>
        <v>2878.7799999999988</v>
      </c>
    </row>
    <row r="22" spans="1:9" x14ac:dyDescent="0.35">
      <c r="A22" s="1">
        <v>7</v>
      </c>
      <c r="B22" s="3" t="s">
        <v>8</v>
      </c>
      <c r="C22" s="25">
        <v>1100138.3999999999</v>
      </c>
      <c r="D22" s="25">
        <v>225600</v>
      </c>
      <c r="E22" s="26">
        <v>0.2</v>
      </c>
      <c r="F22" s="27">
        <v>1926</v>
      </c>
      <c r="G22" s="27">
        <v>178134</v>
      </c>
      <c r="H22" s="27">
        <f t="shared" si="1"/>
        <v>1149530.3999999999</v>
      </c>
      <c r="I22" s="27">
        <f t="shared" si="2"/>
        <v>169869.60000000009</v>
      </c>
    </row>
    <row r="23" spans="1:9" x14ac:dyDescent="0.35">
      <c r="A23" s="1">
        <v>8</v>
      </c>
      <c r="B23" s="3" t="s">
        <v>9</v>
      </c>
      <c r="C23" s="28">
        <v>1475175.7999999998</v>
      </c>
      <c r="D23" s="25">
        <v>146978.75</v>
      </c>
      <c r="E23" s="26">
        <v>0.2</v>
      </c>
      <c r="F23" s="27">
        <v>93321</v>
      </c>
      <c r="G23" s="27">
        <v>91191</v>
      </c>
      <c r="H23" s="27">
        <f t="shared" si="1"/>
        <v>1624284.5499999998</v>
      </c>
      <c r="I23" s="27">
        <f t="shared" si="2"/>
        <v>384628.45000000019</v>
      </c>
    </row>
    <row r="24" spans="1:9" x14ac:dyDescent="0.35">
      <c r="A24" s="1">
        <v>9</v>
      </c>
      <c r="B24" s="3" t="s">
        <v>10</v>
      </c>
      <c r="C24" s="28">
        <v>0</v>
      </c>
      <c r="D24" s="28">
        <v>0</v>
      </c>
      <c r="E24" s="29">
        <v>0.1</v>
      </c>
      <c r="F24" s="27">
        <v>0</v>
      </c>
      <c r="G24" s="30">
        <v>0</v>
      </c>
      <c r="H24" s="27">
        <f t="shared" si="1"/>
        <v>0</v>
      </c>
      <c r="I24" s="27">
        <f t="shared" si="2"/>
        <v>0</v>
      </c>
    </row>
    <row r="25" spans="1:9" x14ac:dyDescent="0.35">
      <c r="A25" s="2" t="s">
        <v>0</v>
      </c>
      <c r="B25" s="35" t="s">
        <v>11</v>
      </c>
      <c r="C25" s="31">
        <f>SUM(C16:C24)</f>
        <v>14436460.875</v>
      </c>
      <c r="D25" s="31">
        <f>SUM(D16:D24)</f>
        <v>713226.26</v>
      </c>
      <c r="E25" s="31"/>
      <c r="F25" s="31">
        <f>SUM(F16:F24)</f>
        <v>317942</v>
      </c>
      <c r="G25" s="31">
        <f>SUM(G16:G24)</f>
        <v>564007</v>
      </c>
      <c r="H25" s="31">
        <f>SUM(H16:H24)</f>
        <v>14903622.135000002</v>
      </c>
      <c r="I25" s="32">
        <f>SUM(I16:I24)</f>
        <v>4301988.8650000002</v>
      </c>
    </row>
  </sheetData>
  <mergeCells count="8">
    <mergeCell ref="A14:A15"/>
    <mergeCell ref="B14:B15"/>
    <mergeCell ref="I14:I15"/>
    <mergeCell ref="C14:H14"/>
    <mergeCell ref="A1:A2"/>
    <mergeCell ref="B12:D12"/>
    <mergeCell ref="E1:I1"/>
    <mergeCell ref="B1:D2"/>
  </mergeCells>
  <pageMargins left="0.7" right="0.7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Kamruzzaman Zaman</dc:creator>
  <cp:lastModifiedBy>Kamruzzaman Zaman</cp:lastModifiedBy>
  <cp:lastPrinted>2026-07-27T12:26:32Z</cp:lastPrinted>
  <dcterms:created xsi:type="dcterms:W3CDTF">2026-07-27T12:13:12Z</dcterms:created>
  <dcterms:modified xsi:type="dcterms:W3CDTF">2026-07-27T12:29:25Z</dcterms:modified>
</cp:coreProperties>
</file>