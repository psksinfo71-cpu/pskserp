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SKS-DED\Documents\"/>
    </mc:Choice>
  </mc:AlternateContent>
  <xr:revisionPtr revIDLastSave="0" documentId="8_{DF658CC4-8370-45EB-9D3A-C051025B9841}" xr6:coauthVersionLast="47" xr6:coauthVersionMax="47" xr10:uidLastSave="{00000000-0000-0000-0000-000000000000}"/>
  <bookViews>
    <workbookView xWindow="-110" yWindow="-110" windowWidth="19420" windowHeight="10300" xr2:uid="{30037240-A284-4C96-B3A7-35D88BF68069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2" i="1" l="1"/>
  <c r="C49" i="1"/>
  <c r="C52" i="1" s="1"/>
  <c r="C27" i="1"/>
  <c r="C54" i="1" s="1"/>
  <c r="C56" i="1" s="1"/>
  <c r="B21" i="1"/>
  <c r="B27" i="1" s="1"/>
  <c r="B54" i="1" s="1"/>
  <c r="B56" i="1" s="1"/>
</calcChain>
</file>

<file path=xl/sharedStrings.xml><?xml version="1.0" encoding="utf-8"?>
<sst xmlns="http://schemas.openxmlformats.org/spreadsheetml/2006/main" count="51" uniqueCount="49">
  <si>
    <t>PALASHIPARA SAMAJ KALLAYAN SAMITY</t>
  </si>
  <si>
    <t xml:space="preserve">GANGNI, MEHERPUR </t>
  </si>
  <si>
    <t>GENERAL FUND</t>
  </si>
  <si>
    <t>BUDGET FOR THE YEAR 2026-2027</t>
  </si>
  <si>
    <t>01 July 2026 - 30 June 2027</t>
  </si>
  <si>
    <t>PARTICULARS</t>
  </si>
  <si>
    <t>Income &amp; Expenditure
2025-2026</t>
  </si>
  <si>
    <t>BUDGET
2026-2027</t>
  </si>
  <si>
    <t>INCOME:</t>
  </si>
  <si>
    <t>Agriculture/Income Generation</t>
  </si>
  <si>
    <t>Bank Interest</t>
  </si>
  <si>
    <t>Capital Gain from Sale of Fixed Asset</t>
  </si>
  <si>
    <t xml:space="preserve">Fixed Asset Received in Kind of Donation </t>
  </si>
  <si>
    <t>FDR Interest</t>
  </si>
  <si>
    <t>Husking Mill</t>
  </si>
  <si>
    <t>Local Donation</t>
  </si>
  <si>
    <t>Members Subsription Fees</t>
  </si>
  <si>
    <t>Office Overhead</t>
  </si>
  <si>
    <t>Office Rent</t>
  </si>
  <si>
    <t>Others</t>
  </si>
  <si>
    <t>Shop Rent</t>
  </si>
  <si>
    <t>Guest Room</t>
  </si>
  <si>
    <t xml:space="preserve">Training Center </t>
  </si>
  <si>
    <t>Relief &amp; Rehabilation</t>
  </si>
  <si>
    <t xml:space="preserve">Total Taka: </t>
  </si>
  <si>
    <t>EXPENDITURE</t>
  </si>
  <si>
    <t>Advertisement and Newspaper Bill</t>
  </si>
  <si>
    <t>Audit Fees</t>
  </si>
  <si>
    <t>Bank Charge &amp; Commission</t>
  </si>
  <si>
    <t>Bank Charge on FDR</t>
  </si>
  <si>
    <t>Depriciation</t>
  </si>
  <si>
    <t>Education, Training &amp; Workshop</t>
  </si>
  <si>
    <t>Electricity, Gas &amp; Was a Bill</t>
  </si>
  <si>
    <t>Entertaintment</t>
  </si>
  <si>
    <t>Fuel and Lubricants</t>
  </si>
  <si>
    <t>Interest on Staff Security Money</t>
  </si>
  <si>
    <t>Land and Other Tax</t>
  </si>
  <si>
    <t>Loss on Disposal of Fixed Asset</t>
  </si>
  <si>
    <t>Membership/Networking Fees</t>
  </si>
  <si>
    <t>Others Expenses</t>
  </si>
  <si>
    <t>Postage and Communication</t>
  </si>
  <si>
    <t>Program Cost</t>
  </si>
  <si>
    <t>Repair and Maintance</t>
  </si>
  <si>
    <t>Salary and Benefits</t>
  </si>
  <si>
    <t>Stationary &amp; Printing</t>
  </si>
  <si>
    <t>Traveling and Daily Allowance</t>
  </si>
  <si>
    <t>Total Expenditure :</t>
  </si>
  <si>
    <t>Surplus/(Deficit) of Income over Expenditure</t>
  </si>
  <si>
    <t>Total Taka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</si>
</sst>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 wrapText="1"/>
    </xf>
    <xf numFmtId="14" fontId="2" fillId="0" borderId="3" xfId="0" applyNumberFormat="1" applyFont="1" applyBorder="1" applyAlignment="1">
      <alignment horizontal="center" vertical="center" wrapText="1"/>
    </xf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2" fillId="0" borderId="7" xfId="0" applyFont="1" applyBorder="1" applyAlignment="1">
      <alignment horizontal="left"/>
    </xf>
    <xf numFmtId="164" fontId="3" fillId="0" borderId="8" xfId="1" applyNumberFormat="1" applyFont="1" applyBorder="1"/>
    <xf numFmtId="164" fontId="3" fillId="0" borderId="9" xfId="1" applyNumberFormat="1" applyFont="1" applyBorder="1"/>
    <xf numFmtId="0" fontId="3" fillId="0" borderId="7" xfId="0" applyFont="1" applyBorder="1"/>
    <xf numFmtId="164" fontId="3" fillId="0" borderId="8" xfId="1" applyNumberFormat="1" applyFont="1" applyFill="1" applyBorder="1"/>
    <xf numFmtId="164" fontId="3" fillId="0" borderId="9" xfId="1" applyNumberFormat="1" applyFont="1" applyFill="1" applyBorder="1" applyAlignment="1">
      <alignment horizontal="right"/>
    </xf>
    <xf numFmtId="0" fontId="2" fillId="0" borderId="7" xfId="0" applyFont="1" applyBorder="1" applyAlignment="1">
      <alignment horizontal="right"/>
    </xf>
    <xf numFmtId="164" fontId="2" fillId="0" borderId="8" xfId="1" applyNumberFormat="1" applyFont="1" applyBorder="1" applyAlignment="1">
      <alignment horizontal="right"/>
    </xf>
    <xf numFmtId="164" fontId="2" fillId="0" borderId="9" xfId="1" applyNumberFormat="1" applyFont="1" applyBorder="1" applyAlignment="1">
      <alignment horizontal="right"/>
    </xf>
    <xf numFmtId="0" fontId="2" fillId="0" borderId="7" xfId="0" applyFont="1" applyBorder="1"/>
    <xf numFmtId="0" fontId="3" fillId="0" borderId="7" xfId="0" applyFont="1" applyBorder="1" applyAlignment="1">
      <alignment horizontal="left"/>
    </xf>
    <xf numFmtId="164" fontId="3" fillId="0" borderId="8" xfId="1" applyNumberFormat="1" applyFont="1" applyBorder="1" applyAlignment="1">
      <alignment horizontal="left"/>
    </xf>
    <xf numFmtId="164" fontId="3" fillId="0" borderId="9" xfId="1" applyNumberFormat="1" applyFont="1" applyBorder="1" applyAlignment="1">
      <alignment horizontal="left"/>
    </xf>
    <xf numFmtId="0" fontId="3" fillId="0" borderId="4" xfId="0" applyFont="1" applyBorder="1" applyAlignment="1">
      <alignment horizontal="left"/>
    </xf>
    <xf numFmtId="164" fontId="3" fillId="0" borderId="5" xfId="1" applyNumberFormat="1" applyFont="1" applyBorder="1" applyAlignment="1">
      <alignment horizontal="left"/>
    </xf>
    <xf numFmtId="164" fontId="3" fillId="0" borderId="6" xfId="1" applyNumberFormat="1" applyFont="1" applyBorder="1" applyAlignment="1">
      <alignment horizontal="left"/>
    </xf>
    <xf numFmtId="164" fontId="3" fillId="0" borderId="8" xfId="1" applyNumberFormat="1" applyFont="1" applyFill="1" applyBorder="1" applyAlignment="1">
      <alignment horizontal="left"/>
    </xf>
    <xf numFmtId="164" fontId="3" fillId="0" borderId="9" xfId="1" applyNumberFormat="1" applyFont="1" applyFill="1" applyBorder="1" applyAlignment="1">
      <alignment horizontal="left"/>
    </xf>
    <xf numFmtId="0" fontId="2" fillId="0" borderId="4" xfId="0" applyFont="1" applyBorder="1" applyAlignment="1">
      <alignment horizontal="right"/>
    </xf>
    <xf numFmtId="164" fontId="2" fillId="0" borderId="5" xfId="1" applyNumberFormat="1" applyFont="1" applyBorder="1"/>
    <xf numFmtId="164" fontId="2" fillId="0" borderId="6" xfId="1" applyNumberFormat="1" applyFont="1" applyBorder="1"/>
    <xf numFmtId="0" fontId="3" fillId="0" borderId="8" xfId="0" applyFont="1" applyBorder="1"/>
    <xf numFmtId="0" fontId="3" fillId="0" borderId="9" xfId="0" applyFont="1" applyBorder="1"/>
    <xf numFmtId="164" fontId="3" fillId="0" borderId="8" xfId="0" applyNumberFormat="1" applyFont="1" applyBorder="1"/>
    <xf numFmtId="164" fontId="3" fillId="0" borderId="9" xfId="0" applyNumberFormat="1" applyFont="1" applyBorder="1"/>
    <xf numFmtId="0" fontId="2" fillId="0" borderId="10" xfId="0" applyFont="1" applyBorder="1" applyAlignment="1">
      <alignment horizontal="right"/>
    </xf>
    <xf numFmtId="164" fontId="2" fillId="0" borderId="11" xfId="1" applyNumberFormat="1" applyFont="1" applyBorder="1"/>
    <xf numFmtId="164" fontId="2" fillId="0" borderId="12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SKS-DED\AppData\Local\Temp\77705c15-4e09-4140-98c5-0a929fe7781f_All%20Budget%202026-27.zip.81f\All%20Budget%202026-27\11_General%20Fund-%20Ok\General%20Fund%202026-2027.xls" TargetMode="External"/><Relationship Id="rId1" Type="http://schemas.openxmlformats.org/officeDocument/2006/relationships/externalLinkPath" Target="/Users/PSKS-DED/AppData/Local/Temp/77705c15-4e09-4140-98c5-0a929fe7781f_All%20Budget%202026-27.zip.81f/All%20Budget%202026-27/11_General%20Fund-%20Ok/General%20Fund%202026-202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 &amp; E "/>
      <sheetName val="Salary"/>
      <sheetName val="Sheet1"/>
      <sheetName val="ED Salary"/>
    </sheetNames>
    <sheetDataSet>
      <sheetData sheetId="0"/>
      <sheetData sheetId="1">
        <row r="19">
          <cell r="K19">
            <v>409790.39999999997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DE8E9-0163-47E2-8F2D-30A8FE89D55E}">
  <dimension ref="A1:C57"/>
  <sheetViews>
    <sheetView tabSelected="1" topLeftCell="A43" workbookViewId="0">
      <selection activeCell="H9" sqref="H9"/>
    </sheetView>
  </sheetViews>
  <sheetFormatPr defaultRowHeight="14.5" x14ac:dyDescent="0.35"/>
  <cols>
    <col min="1" max="1" width="57.90625" customWidth="1"/>
    <col min="2" max="2" width="14.54296875" customWidth="1"/>
    <col min="3" max="3" width="14.36328125" customWidth="1"/>
  </cols>
  <sheetData>
    <row r="1" spans="1:3" x14ac:dyDescent="0.35">
      <c r="A1" s="1" t="s">
        <v>0</v>
      </c>
      <c r="B1" s="1"/>
      <c r="C1" s="1"/>
    </row>
    <row r="2" spans="1:3" x14ac:dyDescent="0.35">
      <c r="A2" s="1" t="s">
        <v>1</v>
      </c>
      <c r="B2" s="1"/>
      <c r="C2" s="1"/>
    </row>
    <row r="3" spans="1:3" x14ac:dyDescent="0.35">
      <c r="A3" s="2"/>
      <c r="B3" s="2"/>
      <c r="C3" s="2"/>
    </row>
    <row r="4" spans="1:3" x14ac:dyDescent="0.35">
      <c r="A4" s="1" t="s">
        <v>2</v>
      </c>
      <c r="B4" s="1"/>
      <c r="C4" s="1"/>
    </row>
    <row r="5" spans="1:3" x14ac:dyDescent="0.35">
      <c r="A5" s="2"/>
      <c r="B5" s="2"/>
      <c r="C5" s="2"/>
    </row>
    <row r="6" spans="1:3" x14ac:dyDescent="0.35">
      <c r="A6" s="1" t="s">
        <v>3</v>
      </c>
      <c r="B6" s="1"/>
      <c r="C6" s="1"/>
    </row>
    <row r="7" spans="1:3" x14ac:dyDescent="0.35">
      <c r="A7" s="1" t="s">
        <v>4</v>
      </c>
      <c r="B7" s="1"/>
      <c r="C7" s="1"/>
    </row>
    <row r="8" spans="1:3" ht="15" thickBot="1" x14ac:dyDescent="0.4">
      <c r="A8" s="3"/>
      <c r="B8" s="3"/>
      <c r="C8" s="3"/>
    </row>
    <row r="9" spans="1:3" ht="43" thickTop="1" thickBot="1" x14ac:dyDescent="0.4">
      <c r="A9" s="4" t="s">
        <v>5</v>
      </c>
      <c r="B9" s="5" t="s">
        <v>6</v>
      </c>
      <c r="C9" s="6" t="s">
        <v>7</v>
      </c>
    </row>
    <row r="10" spans="1:3" ht="15" thickTop="1" x14ac:dyDescent="0.35">
      <c r="A10" s="7"/>
      <c r="B10" s="8"/>
      <c r="C10" s="9"/>
    </row>
    <row r="11" spans="1:3" x14ac:dyDescent="0.35">
      <c r="A11" s="10" t="s">
        <v>8</v>
      </c>
      <c r="B11" s="11"/>
      <c r="C11" s="12"/>
    </row>
    <row r="12" spans="1:3" x14ac:dyDescent="0.35">
      <c r="A12" s="13" t="s">
        <v>9</v>
      </c>
      <c r="B12" s="11">
        <v>550</v>
      </c>
      <c r="C12" s="12">
        <v>12000</v>
      </c>
    </row>
    <row r="13" spans="1:3" x14ac:dyDescent="0.35">
      <c r="A13" s="13" t="s">
        <v>10</v>
      </c>
      <c r="B13" s="11">
        <v>417</v>
      </c>
      <c r="C13" s="12">
        <v>2400</v>
      </c>
    </row>
    <row r="14" spans="1:3" x14ac:dyDescent="0.35">
      <c r="A14" s="13" t="s">
        <v>11</v>
      </c>
      <c r="B14" s="14">
        <v>263030</v>
      </c>
      <c r="C14" s="12">
        <v>200000</v>
      </c>
    </row>
    <row r="15" spans="1:3" x14ac:dyDescent="0.35">
      <c r="A15" s="13" t="s">
        <v>12</v>
      </c>
      <c r="B15" s="14">
        <v>1565024</v>
      </c>
      <c r="C15" s="12">
        <v>0</v>
      </c>
    </row>
    <row r="16" spans="1:3" x14ac:dyDescent="0.35">
      <c r="A16" s="13" t="s">
        <v>13</v>
      </c>
      <c r="B16" s="11">
        <v>143177</v>
      </c>
      <c r="C16" s="12">
        <v>150000</v>
      </c>
    </row>
    <row r="17" spans="1:3" x14ac:dyDescent="0.35">
      <c r="A17" s="13" t="s">
        <v>14</v>
      </c>
      <c r="B17" s="11">
        <v>108000</v>
      </c>
      <c r="C17" s="12">
        <v>120000</v>
      </c>
    </row>
    <row r="18" spans="1:3" x14ac:dyDescent="0.35">
      <c r="A18" s="13" t="s">
        <v>15</v>
      </c>
      <c r="B18" s="11">
        <v>170000</v>
      </c>
      <c r="C18" s="12">
        <v>200000</v>
      </c>
    </row>
    <row r="19" spans="1:3" x14ac:dyDescent="0.35">
      <c r="A19" s="13" t="s">
        <v>16</v>
      </c>
      <c r="B19" s="11">
        <v>6100</v>
      </c>
      <c r="C19" s="12">
        <v>6100</v>
      </c>
    </row>
    <row r="20" spans="1:3" x14ac:dyDescent="0.35">
      <c r="A20" s="13" t="s">
        <v>17</v>
      </c>
      <c r="B20" s="11">
        <v>659292</v>
      </c>
      <c r="C20" s="12">
        <v>1512000</v>
      </c>
    </row>
    <row r="21" spans="1:3" x14ac:dyDescent="0.35">
      <c r="A21" s="13" t="s">
        <v>18</v>
      </c>
      <c r="B21" s="11">
        <f>863244-36000</f>
        <v>827244</v>
      </c>
      <c r="C21" s="12">
        <v>922500</v>
      </c>
    </row>
    <row r="22" spans="1:3" x14ac:dyDescent="0.35">
      <c r="A22" s="13" t="s">
        <v>19</v>
      </c>
      <c r="B22" s="11">
        <v>62499</v>
      </c>
      <c r="C22" s="12">
        <v>70000</v>
      </c>
    </row>
    <row r="23" spans="1:3" x14ac:dyDescent="0.35">
      <c r="A23" s="13" t="s">
        <v>20</v>
      </c>
      <c r="B23" s="11">
        <v>36000</v>
      </c>
      <c r="C23" s="12">
        <v>36000</v>
      </c>
    </row>
    <row r="24" spans="1:3" x14ac:dyDescent="0.35">
      <c r="A24" s="13" t="s">
        <v>21</v>
      </c>
      <c r="B24" s="11">
        <v>87500</v>
      </c>
      <c r="C24" s="15">
        <v>100000</v>
      </c>
    </row>
    <row r="25" spans="1:3" x14ac:dyDescent="0.35">
      <c r="A25" s="13" t="s">
        <v>22</v>
      </c>
      <c r="B25" s="11">
        <v>29000</v>
      </c>
      <c r="C25" s="15">
        <v>50000</v>
      </c>
    </row>
    <row r="26" spans="1:3" x14ac:dyDescent="0.35">
      <c r="A26" s="13" t="s">
        <v>23</v>
      </c>
      <c r="B26" s="11">
        <v>0</v>
      </c>
      <c r="C26" s="15">
        <v>0</v>
      </c>
    </row>
    <row r="27" spans="1:3" x14ac:dyDescent="0.35">
      <c r="A27" s="16" t="s">
        <v>24</v>
      </c>
      <c r="B27" s="17">
        <f>SUM(B12:B26)</f>
        <v>3957833</v>
      </c>
      <c r="C27" s="18">
        <f>SUM(C12:C26)</f>
        <v>3381000</v>
      </c>
    </row>
    <row r="28" spans="1:3" x14ac:dyDescent="0.35">
      <c r="A28" s="16"/>
      <c r="B28" s="17"/>
      <c r="C28" s="18"/>
    </row>
    <row r="29" spans="1:3" x14ac:dyDescent="0.35">
      <c r="A29" s="19" t="s">
        <v>25</v>
      </c>
      <c r="B29" s="11"/>
      <c r="C29" s="12"/>
    </row>
    <row r="30" spans="1:3" x14ac:dyDescent="0.35">
      <c r="A30" s="20" t="s">
        <v>26</v>
      </c>
      <c r="B30" s="21">
        <v>0</v>
      </c>
      <c r="C30" s="22">
        <v>0</v>
      </c>
    </row>
    <row r="31" spans="1:3" x14ac:dyDescent="0.35">
      <c r="A31" s="20" t="s">
        <v>9</v>
      </c>
      <c r="B31" s="21">
        <v>0</v>
      </c>
      <c r="C31" s="22">
        <v>1500</v>
      </c>
    </row>
    <row r="32" spans="1:3" x14ac:dyDescent="0.35">
      <c r="A32" s="20" t="s">
        <v>27</v>
      </c>
      <c r="B32" s="21">
        <v>6000</v>
      </c>
      <c r="C32" s="22">
        <v>10000</v>
      </c>
    </row>
    <row r="33" spans="1:3" x14ac:dyDescent="0.35">
      <c r="A33" s="23" t="s">
        <v>28</v>
      </c>
      <c r="B33" s="24">
        <v>961</v>
      </c>
      <c r="C33" s="25">
        <v>1500</v>
      </c>
    </row>
    <row r="34" spans="1:3" x14ac:dyDescent="0.35">
      <c r="A34" s="20" t="s">
        <v>29</v>
      </c>
      <c r="B34" s="21">
        <v>1150</v>
      </c>
      <c r="C34" s="22">
        <v>1500</v>
      </c>
    </row>
    <row r="35" spans="1:3" x14ac:dyDescent="0.35">
      <c r="A35" s="20" t="s">
        <v>30</v>
      </c>
      <c r="B35" s="26">
        <v>317942</v>
      </c>
      <c r="C35" s="27">
        <v>300000</v>
      </c>
    </row>
    <row r="36" spans="1:3" x14ac:dyDescent="0.35">
      <c r="A36" s="20" t="s">
        <v>31</v>
      </c>
      <c r="B36" s="26">
        <v>0</v>
      </c>
      <c r="C36" s="27">
        <v>120000</v>
      </c>
    </row>
    <row r="37" spans="1:3" x14ac:dyDescent="0.35">
      <c r="A37" s="20" t="s">
        <v>32</v>
      </c>
      <c r="B37" s="21">
        <v>48827</v>
      </c>
      <c r="C37" s="22">
        <v>50000</v>
      </c>
    </row>
    <row r="38" spans="1:3" x14ac:dyDescent="0.35">
      <c r="A38" s="20" t="s">
        <v>33</v>
      </c>
      <c r="B38" s="21">
        <v>7847</v>
      </c>
      <c r="C38" s="22">
        <v>15000</v>
      </c>
    </row>
    <row r="39" spans="1:3" x14ac:dyDescent="0.35">
      <c r="A39" s="20" t="s">
        <v>34</v>
      </c>
      <c r="B39" s="21">
        <v>7914</v>
      </c>
      <c r="C39" s="22">
        <v>25000</v>
      </c>
    </row>
    <row r="40" spans="1:3" x14ac:dyDescent="0.35">
      <c r="A40" s="20" t="s">
        <v>14</v>
      </c>
      <c r="B40" s="21">
        <v>11349</v>
      </c>
      <c r="C40" s="22">
        <v>15000</v>
      </c>
    </row>
    <row r="41" spans="1:3" x14ac:dyDescent="0.35">
      <c r="A41" s="20" t="s">
        <v>35</v>
      </c>
      <c r="B41" s="21">
        <v>2958</v>
      </c>
      <c r="C41" s="22">
        <v>0</v>
      </c>
    </row>
    <row r="42" spans="1:3" x14ac:dyDescent="0.35">
      <c r="A42" s="20" t="s">
        <v>36</v>
      </c>
      <c r="B42" s="21">
        <v>48037</v>
      </c>
      <c r="C42" s="22">
        <v>60000</v>
      </c>
    </row>
    <row r="43" spans="1:3" x14ac:dyDescent="0.35">
      <c r="A43" s="20" t="s">
        <v>37</v>
      </c>
      <c r="B43" s="21">
        <v>662740</v>
      </c>
      <c r="C43" s="22">
        <v>150000</v>
      </c>
    </row>
    <row r="44" spans="1:3" x14ac:dyDescent="0.35">
      <c r="A44" s="20" t="s">
        <v>38</v>
      </c>
      <c r="B44" s="21">
        <v>1900</v>
      </c>
      <c r="C44" s="22">
        <v>2000</v>
      </c>
    </row>
    <row r="45" spans="1:3" x14ac:dyDescent="0.35">
      <c r="A45" s="20" t="s">
        <v>39</v>
      </c>
      <c r="B45" s="21">
        <v>13997</v>
      </c>
      <c r="C45" s="22">
        <v>30000</v>
      </c>
    </row>
    <row r="46" spans="1:3" x14ac:dyDescent="0.35">
      <c r="A46" s="20" t="s">
        <v>40</v>
      </c>
      <c r="B46" s="21">
        <v>8831</v>
      </c>
      <c r="C46" s="22">
        <v>24000</v>
      </c>
    </row>
    <row r="47" spans="1:3" x14ac:dyDescent="0.35">
      <c r="A47" s="20" t="s">
        <v>41</v>
      </c>
      <c r="B47" s="21">
        <v>59000</v>
      </c>
      <c r="C47" s="22">
        <v>75000</v>
      </c>
    </row>
    <row r="48" spans="1:3" x14ac:dyDescent="0.35">
      <c r="A48" s="20" t="s">
        <v>42</v>
      </c>
      <c r="B48" s="21">
        <v>241046</v>
      </c>
      <c r="C48" s="22">
        <v>250000</v>
      </c>
    </row>
    <row r="49" spans="1:3" x14ac:dyDescent="0.35">
      <c r="A49" s="20" t="s">
        <v>43</v>
      </c>
      <c r="B49" s="26">
        <v>279448</v>
      </c>
      <c r="C49" s="27">
        <f>[1]Salary!K19</f>
        <v>409790.39999999997</v>
      </c>
    </row>
    <row r="50" spans="1:3" x14ac:dyDescent="0.35">
      <c r="A50" s="20" t="s">
        <v>44</v>
      </c>
      <c r="B50" s="21">
        <v>6041</v>
      </c>
      <c r="C50" s="22">
        <v>35000</v>
      </c>
    </row>
    <row r="51" spans="1:3" x14ac:dyDescent="0.35">
      <c r="A51" s="20" t="s">
        <v>45</v>
      </c>
      <c r="B51" s="21">
        <v>49565</v>
      </c>
      <c r="C51" s="22">
        <v>50000</v>
      </c>
    </row>
    <row r="52" spans="1:3" x14ac:dyDescent="0.35">
      <c r="A52" s="28" t="s">
        <v>46</v>
      </c>
      <c r="B52" s="29">
        <f>SUM(B30:B51)</f>
        <v>1775553</v>
      </c>
      <c r="C52" s="30">
        <f>SUM(C30:C51)</f>
        <v>1625290.4</v>
      </c>
    </row>
    <row r="53" spans="1:3" x14ac:dyDescent="0.35">
      <c r="A53" s="13"/>
      <c r="B53" s="31"/>
      <c r="C53" s="32"/>
    </row>
    <row r="54" spans="1:3" x14ac:dyDescent="0.35">
      <c r="A54" s="13" t="s">
        <v>47</v>
      </c>
      <c r="B54" s="33">
        <f>B27-B52</f>
        <v>2182280</v>
      </c>
      <c r="C54" s="34">
        <f>C27-C52</f>
        <v>1755709.6</v>
      </c>
    </row>
    <row r="55" spans="1:3" x14ac:dyDescent="0.35">
      <c r="A55" s="13"/>
      <c r="B55" s="33"/>
      <c r="C55" s="34"/>
    </row>
    <row r="56" spans="1:3" ht="15" thickBot="1" x14ac:dyDescent="0.4">
      <c r="A56" s="35" t="s">
        <v>48</v>
      </c>
      <c r="B56" s="36">
        <f>B54+B52</f>
        <v>3957833</v>
      </c>
      <c r="C56" s="37">
        <f>C54+C52</f>
        <v>3381000</v>
      </c>
    </row>
    <row r="57" spans="1:3" ht="15" thickTop="1" x14ac:dyDescent="0.35"/>
  </sheetData>
  <mergeCells count="5">
    <mergeCell ref="A1:C1"/>
    <mergeCell ref="A2:C2"/>
    <mergeCell ref="A4:C4"/>
    <mergeCell ref="A6:C6"/>
    <mergeCell ref="A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PSKS-DED</dc:creator>
  <cp:lastModifiedBy>PSKS-DED</cp:lastModifiedBy>
  <dcterms:created xsi:type="dcterms:W3CDTF">2026-08-02T17:30:11Z</dcterms:created>
  <dcterms:modified xsi:type="dcterms:W3CDTF">2026-08-02T17:30:55Z</dcterms:modified>
</cp:coreProperties>
</file>