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SKS\OneDrive\Documents\"/>
    </mc:Choice>
  </mc:AlternateContent>
  <xr:revisionPtr revIDLastSave="0" documentId="13_ncr:1_{A458078C-2379-4695-8723-13476C581B87}" xr6:coauthVersionLast="47" xr6:coauthVersionMax="47" xr10:uidLastSave="{00000000-0000-0000-0000-000000000000}"/>
  <bookViews>
    <workbookView xWindow="-110" yWindow="-110" windowWidth="19420" windowHeight="10300" xr2:uid="{CD9EAAF4-3A3F-4284-814B-5443D97EC4C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9" i="1" l="1"/>
  <c r="F29" i="1"/>
  <c r="D29" i="1"/>
  <c r="C29" i="1"/>
  <c r="H28" i="1"/>
  <c r="H27" i="1"/>
  <c r="H26" i="1"/>
  <c r="H25" i="1"/>
  <c r="H24" i="1"/>
  <c r="H23" i="1"/>
  <c r="H22" i="1"/>
  <c r="H21" i="1"/>
  <c r="H20" i="1"/>
  <c r="H15" i="1"/>
  <c r="F15" i="1"/>
  <c r="E15" i="1"/>
  <c r="I13" i="1"/>
  <c r="I28" i="1" s="1"/>
  <c r="I12" i="1"/>
  <c r="I11" i="1"/>
  <c r="I26" i="1" s="1"/>
  <c r="I10" i="1"/>
  <c r="I25" i="1" s="1"/>
  <c r="I9" i="1"/>
  <c r="I24" i="1" s="1"/>
  <c r="G8" i="1"/>
  <c r="I7" i="1"/>
  <c r="I6" i="1"/>
  <c r="I21" i="1" s="1"/>
  <c r="I5" i="1"/>
  <c r="I27" i="1" l="1"/>
  <c r="H29" i="1"/>
  <c r="I22" i="1"/>
  <c r="G15" i="1"/>
  <c r="I8" i="1"/>
  <c r="I23" i="1" s="1"/>
  <c r="I20" i="1"/>
  <c r="I15" i="1"/>
  <c r="I29" i="1" l="1"/>
</calcChain>
</file>

<file path=xl/sharedStrings.xml><?xml version="1.0" encoding="utf-8"?>
<sst xmlns="http://schemas.openxmlformats.org/spreadsheetml/2006/main" count="51" uniqueCount="37">
  <si>
    <t>FIXED ASSETS: Tk. 43,01,989</t>
  </si>
  <si>
    <t>Sl</t>
  </si>
  <si>
    <t>VALUE AT COST</t>
  </si>
  <si>
    <t>Total</t>
  </si>
  <si>
    <t>No.</t>
  </si>
  <si>
    <t>Particulars</t>
  </si>
  <si>
    <t>Opening</t>
  </si>
  <si>
    <t>Tranferred</t>
  </si>
  <si>
    <t>Addition for</t>
  </si>
  <si>
    <t>Adjustment</t>
  </si>
  <si>
    <t>Cost</t>
  </si>
  <si>
    <t>from Project</t>
  </si>
  <si>
    <t>the Year</t>
  </si>
  <si>
    <t>for the Year</t>
  </si>
  <si>
    <t>Land</t>
  </si>
  <si>
    <t>Bulding</t>
  </si>
  <si>
    <t>Furniture &amp; Fixture</t>
  </si>
  <si>
    <t>Office Equipment</t>
  </si>
  <si>
    <t>Husking Mill</t>
  </si>
  <si>
    <t>Books &amp; Periodicals</t>
  </si>
  <si>
    <t>Vehicles</t>
  </si>
  <si>
    <t>Computer Equipments</t>
  </si>
  <si>
    <t>Medical Equipments</t>
  </si>
  <si>
    <t>#</t>
  </si>
  <si>
    <t>Total Taka:</t>
  </si>
  <si>
    <t>D E P R E C I A T I O N</t>
  </si>
  <si>
    <t>Written</t>
  </si>
  <si>
    <t xml:space="preserve">Opening </t>
  </si>
  <si>
    <t>Tranferred from Project</t>
  </si>
  <si>
    <t>Rate</t>
  </si>
  <si>
    <t>For the Year</t>
  </si>
  <si>
    <t>Down</t>
  </si>
  <si>
    <t>Balance
01.07.2025</t>
  </si>
  <si>
    <t>30.06.2026</t>
  </si>
  <si>
    <t>Balance
30.06.2025</t>
  </si>
  <si>
    <t>Value
30.06.2026</t>
  </si>
  <si>
    <t>Accumulated
30.06.2026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</si>
</sst>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7">
    <xf numFmtId="0" fontId="0" fillId="0" borderId="0" xfId="0"/>
    <xf numFmtId="0" fontId="3" fillId="0" borderId="0" xfId="0" applyFont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164" fontId="4" fillId="0" borderId="14" xfId="1" applyNumberFormat="1" applyFont="1" applyBorder="1" applyAlignment="1">
      <alignment horizontal="right" vertical="center" wrapText="1"/>
    </xf>
    <xf numFmtId="164" fontId="3" fillId="0" borderId="14" xfId="1" applyNumberFormat="1" applyFont="1" applyBorder="1"/>
    <xf numFmtId="164" fontId="4" fillId="0" borderId="11" xfId="1" applyNumberFormat="1" applyFont="1" applyBorder="1" applyAlignment="1">
      <alignment horizontal="right" vertical="center" wrapText="1"/>
    </xf>
    <xf numFmtId="164" fontId="3" fillId="0" borderId="6" xfId="1" applyNumberFormat="1" applyFont="1" applyBorder="1"/>
    <xf numFmtId="0" fontId="3" fillId="0" borderId="14" xfId="0" applyFont="1" applyBorder="1"/>
    <xf numFmtId="164" fontId="2" fillId="0" borderId="11" xfId="1" applyNumberFormat="1" applyFont="1" applyBorder="1"/>
    <xf numFmtId="164" fontId="2" fillId="0" borderId="14" xfId="1" applyNumberFormat="1" applyFont="1" applyBorder="1"/>
    <xf numFmtId="164" fontId="2" fillId="0" borderId="14" xfId="1" applyNumberFormat="1" applyFont="1" applyFill="1" applyBorder="1"/>
    <xf numFmtId="0" fontId="3" fillId="0" borderId="2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164" fontId="3" fillId="0" borderId="14" xfId="1" applyNumberFormat="1" applyFont="1" applyFill="1" applyBorder="1" applyAlignment="1">
      <alignment horizontal="left"/>
    </xf>
    <xf numFmtId="9" fontId="3" fillId="0" borderId="14" xfId="0" applyNumberFormat="1" applyFont="1" applyBorder="1" applyAlignment="1">
      <alignment horizontal="center"/>
    </xf>
    <xf numFmtId="164" fontId="3" fillId="0" borderId="14" xfId="1" applyNumberFormat="1" applyFont="1" applyFill="1" applyBorder="1"/>
    <xf numFmtId="164" fontId="3" fillId="0" borderId="5" xfId="1" applyNumberFormat="1" applyFont="1" applyFill="1" applyBorder="1" applyAlignment="1">
      <alignment horizontal="left"/>
    </xf>
    <xf numFmtId="9" fontId="3" fillId="0" borderId="5" xfId="0" applyNumberFormat="1" applyFont="1" applyBorder="1" applyAlignment="1">
      <alignment horizontal="center"/>
    </xf>
    <xf numFmtId="164" fontId="3" fillId="0" borderId="5" xfId="1" applyNumberFormat="1" applyFont="1" applyFill="1" applyBorder="1"/>
    <xf numFmtId="164" fontId="2" fillId="0" borderId="5" xfId="1" applyNumberFormat="1" applyFont="1" applyFill="1" applyBorder="1" applyAlignment="1">
      <alignment horizontal="right"/>
    </xf>
    <xf numFmtId="164" fontId="2" fillId="0" borderId="14" xfId="1" applyNumberFormat="1" applyFont="1" applyFill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2" fillId="0" borderId="1" xfId="0" applyFont="1" applyBorder="1"/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vertical="top"/>
    </xf>
    <xf numFmtId="0" fontId="2" fillId="0" borderId="12" xfId="0" applyFont="1" applyBorder="1" applyAlignment="1">
      <alignment vertical="top"/>
    </xf>
    <xf numFmtId="0" fontId="2" fillId="0" borderId="13" xfId="0" applyFont="1" applyBorder="1" applyAlignment="1">
      <alignment vertical="top"/>
    </xf>
    <xf numFmtId="0" fontId="2" fillId="0" borderId="8" xfId="0" applyFont="1" applyBorder="1" applyAlignment="1">
      <alignment horizontal="center" vertical="top"/>
    </xf>
    <xf numFmtId="0" fontId="2" fillId="0" borderId="11" xfId="0" applyFont="1" applyBorder="1" applyAlignment="1">
      <alignment horizontal="center" vertical="top"/>
    </xf>
    <xf numFmtId="0" fontId="0" fillId="0" borderId="0" xfId="0" applyAlignment="1">
      <alignment vertical="top"/>
    </xf>
    <xf numFmtId="0" fontId="2" fillId="0" borderId="8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vertical="top"/>
    </xf>
    <xf numFmtId="0" fontId="2" fillId="0" borderId="6" xfId="0" applyFont="1" applyBorder="1" applyAlignment="1">
      <alignment horizontal="right"/>
    </xf>
    <xf numFmtId="0" fontId="3" fillId="0" borderId="5" xfId="0" applyFont="1" applyBorder="1" applyAlignment="1"/>
    <xf numFmtId="0" fontId="3" fillId="0" borderId="6" xfId="0" applyFont="1" applyBorder="1" applyAlignment="1"/>
    <xf numFmtId="0" fontId="2" fillId="0" borderId="8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F8504-3934-4829-9015-84687E705399}">
  <dimension ref="A1:I29"/>
  <sheetViews>
    <sheetView tabSelected="1" workbookViewId="0">
      <selection activeCell="H20" sqref="H20"/>
    </sheetView>
  </sheetViews>
  <sheetFormatPr defaultRowHeight="14.5" x14ac:dyDescent="0.35"/>
  <cols>
    <col min="1" max="1" width="4" bestFit="1" customWidth="1"/>
    <col min="2" max="2" width="20.453125" bestFit="1" customWidth="1"/>
    <col min="3" max="3" width="12.453125" customWidth="1"/>
    <col min="4" max="4" width="21.6328125" bestFit="1" customWidth="1"/>
    <col min="5" max="5" width="12.453125" bestFit="1" customWidth="1"/>
    <col min="6" max="6" width="12.26953125" bestFit="1" customWidth="1"/>
    <col min="7" max="7" width="11.54296875" bestFit="1" customWidth="1"/>
    <col min="8" max="9" width="12.453125" bestFit="1" customWidth="1"/>
  </cols>
  <sheetData>
    <row r="1" spans="1:9" x14ac:dyDescent="0.35">
      <c r="A1" s="36" t="s">
        <v>0</v>
      </c>
      <c r="B1" s="36"/>
      <c r="C1" s="36"/>
      <c r="D1" s="36"/>
      <c r="E1" s="36"/>
      <c r="F1" s="36"/>
      <c r="G1" s="36"/>
      <c r="H1" s="36"/>
      <c r="I1" s="1"/>
    </row>
    <row r="2" spans="1:9" x14ac:dyDescent="0.35">
      <c r="A2" s="2" t="s">
        <v>1</v>
      </c>
      <c r="B2" s="3"/>
      <c r="C2" s="4"/>
      <c r="D2" s="4"/>
      <c r="E2" s="37" t="s">
        <v>2</v>
      </c>
      <c r="F2" s="38"/>
      <c r="G2" s="38"/>
      <c r="H2" s="39"/>
      <c r="I2" s="2" t="s">
        <v>3</v>
      </c>
    </row>
    <row r="3" spans="1:9" x14ac:dyDescent="0.35">
      <c r="A3" s="5" t="s">
        <v>4</v>
      </c>
      <c r="B3" s="40" t="s">
        <v>5</v>
      </c>
      <c r="C3" s="49"/>
      <c r="D3" s="41"/>
      <c r="E3" s="2" t="s">
        <v>6</v>
      </c>
      <c r="F3" s="2" t="s">
        <v>7</v>
      </c>
      <c r="G3" s="2" t="s">
        <v>8</v>
      </c>
      <c r="H3" s="2" t="s">
        <v>9</v>
      </c>
      <c r="I3" s="5" t="s">
        <v>10</v>
      </c>
    </row>
    <row r="4" spans="1:9" s="47" customFormat="1" ht="28" x14ac:dyDescent="0.35">
      <c r="A4" s="42"/>
      <c r="B4" s="43"/>
      <c r="C4" s="50"/>
      <c r="D4" s="44"/>
      <c r="E4" s="48" t="s">
        <v>32</v>
      </c>
      <c r="F4" s="46" t="s">
        <v>11</v>
      </c>
      <c r="G4" s="45" t="s">
        <v>12</v>
      </c>
      <c r="H4" s="46" t="s">
        <v>13</v>
      </c>
      <c r="I4" s="42" t="s">
        <v>33</v>
      </c>
    </row>
    <row r="5" spans="1:9" ht="15.5" x14ac:dyDescent="0.35">
      <c r="A5" s="6">
        <v>1</v>
      </c>
      <c r="B5" s="52" t="s">
        <v>14</v>
      </c>
      <c r="C5" s="53"/>
      <c r="D5" s="53"/>
      <c r="E5" s="9">
        <v>472082</v>
      </c>
      <c r="F5" s="9">
        <v>0</v>
      </c>
      <c r="G5" s="9">
        <v>0</v>
      </c>
      <c r="H5" s="9">
        <v>0</v>
      </c>
      <c r="I5" s="10">
        <f>E5+F5+G5-H5</f>
        <v>472082</v>
      </c>
    </row>
    <row r="6" spans="1:9" ht="15.5" x14ac:dyDescent="0.35">
      <c r="A6" s="6">
        <v>2</v>
      </c>
      <c r="B6" s="52" t="s">
        <v>15</v>
      </c>
      <c r="C6" s="53"/>
      <c r="D6" s="53"/>
      <c r="E6" s="9">
        <v>9405860</v>
      </c>
      <c r="F6" s="9">
        <v>0</v>
      </c>
      <c r="G6" s="9">
        <v>0</v>
      </c>
      <c r="H6" s="9">
        <v>0</v>
      </c>
      <c r="I6" s="10">
        <f t="shared" ref="I6:I13" si="0">E6+F6+G6-H6</f>
        <v>9405860</v>
      </c>
    </row>
    <row r="7" spans="1:9" ht="15.5" x14ac:dyDescent="0.35">
      <c r="A7" s="6">
        <v>3</v>
      </c>
      <c r="B7" s="52" t="s">
        <v>16</v>
      </c>
      <c r="C7" s="53"/>
      <c r="D7" s="53"/>
      <c r="E7" s="9">
        <v>2109641</v>
      </c>
      <c r="F7" s="9">
        <v>275629</v>
      </c>
      <c r="G7" s="9">
        <v>0</v>
      </c>
      <c r="H7" s="9">
        <v>17565</v>
      </c>
      <c r="I7" s="10">
        <f t="shared" si="0"/>
        <v>2367705</v>
      </c>
    </row>
    <row r="8" spans="1:9" ht="15.5" x14ac:dyDescent="0.35">
      <c r="A8" s="6">
        <v>4</v>
      </c>
      <c r="B8" s="52" t="s">
        <v>17</v>
      </c>
      <c r="C8" s="53"/>
      <c r="D8" s="53"/>
      <c r="E8" s="9">
        <v>2646442</v>
      </c>
      <c r="F8" s="9">
        <v>1149209</v>
      </c>
      <c r="G8" s="9">
        <f>10061+54520+8020+178660</f>
        <v>251261</v>
      </c>
      <c r="H8" s="9">
        <v>716224</v>
      </c>
      <c r="I8" s="10">
        <f t="shared" si="0"/>
        <v>3330688</v>
      </c>
    </row>
    <row r="9" spans="1:9" ht="15.5" x14ac:dyDescent="0.35">
      <c r="A9" s="6">
        <v>5</v>
      </c>
      <c r="B9" s="52" t="s">
        <v>18</v>
      </c>
      <c r="C9" s="53"/>
      <c r="D9" s="53"/>
      <c r="E9" s="9">
        <v>231696</v>
      </c>
      <c r="F9" s="9">
        <v>0</v>
      </c>
      <c r="G9" s="9">
        <v>0</v>
      </c>
      <c r="H9" s="9">
        <v>0</v>
      </c>
      <c r="I9" s="10">
        <f t="shared" si="0"/>
        <v>231696</v>
      </c>
    </row>
    <row r="10" spans="1:9" ht="15.5" x14ac:dyDescent="0.35">
      <c r="A10" s="6">
        <v>6</v>
      </c>
      <c r="B10" s="52" t="s">
        <v>19</v>
      </c>
      <c r="C10" s="53"/>
      <c r="D10" s="53"/>
      <c r="E10" s="9">
        <v>69267</v>
      </c>
      <c r="F10" s="9">
        <v>0</v>
      </c>
      <c r="G10" s="9">
        <v>0</v>
      </c>
      <c r="H10" s="9">
        <v>0</v>
      </c>
      <c r="I10" s="10">
        <f t="shared" si="0"/>
        <v>69267</v>
      </c>
    </row>
    <row r="11" spans="1:9" ht="15.5" x14ac:dyDescent="0.35">
      <c r="A11" s="6">
        <v>7</v>
      </c>
      <c r="B11" s="52" t="s">
        <v>20</v>
      </c>
      <c r="C11" s="53"/>
      <c r="D11" s="53"/>
      <c r="E11" s="9">
        <v>1119400</v>
      </c>
      <c r="F11" s="9">
        <v>600000</v>
      </c>
      <c r="G11" s="9">
        <v>0</v>
      </c>
      <c r="H11" s="9">
        <v>400000</v>
      </c>
      <c r="I11" s="10">
        <f t="shared" si="0"/>
        <v>1319400</v>
      </c>
    </row>
    <row r="12" spans="1:9" ht="15.5" x14ac:dyDescent="0.35">
      <c r="A12" s="6">
        <v>8</v>
      </c>
      <c r="B12" s="52" t="s">
        <v>21</v>
      </c>
      <c r="C12" s="53"/>
      <c r="D12" s="53"/>
      <c r="E12" s="9">
        <v>1848459</v>
      </c>
      <c r="F12" s="9">
        <v>253412</v>
      </c>
      <c r="G12" s="9">
        <v>0</v>
      </c>
      <c r="H12" s="9">
        <v>92958</v>
      </c>
      <c r="I12" s="10">
        <f t="shared" si="0"/>
        <v>2008913</v>
      </c>
    </row>
    <row r="13" spans="1:9" ht="15.5" x14ac:dyDescent="0.35">
      <c r="A13" s="6">
        <v>9</v>
      </c>
      <c r="B13" s="52" t="s">
        <v>22</v>
      </c>
      <c r="C13" s="53"/>
      <c r="D13" s="53"/>
      <c r="E13" s="9">
        <v>0</v>
      </c>
      <c r="F13" s="9">
        <v>0</v>
      </c>
      <c r="G13" s="9">
        <v>0</v>
      </c>
      <c r="H13" s="9">
        <v>0</v>
      </c>
      <c r="I13" s="10">
        <f t="shared" si="0"/>
        <v>0</v>
      </c>
    </row>
    <row r="14" spans="1:9" ht="15.5" x14ac:dyDescent="0.35">
      <c r="A14" s="6">
        <v>10</v>
      </c>
      <c r="B14" s="7"/>
      <c r="C14" s="8"/>
      <c r="D14" s="8"/>
      <c r="E14" s="11"/>
      <c r="F14" s="12">
        <v>0</v>
      </c>
      <c r="G14" s="11"/>
      <c r="H14" s="9"/>
      <c r="I14" s="10"/>
    </row>
    <row r="15" spans="1:9" x14ac:dyDescent="0.35">
      <c r="A15" s="13" t="s">
        <v>23</v>
      </c>
      <c r="B15" s="27" t="s">
        <v>24</v>
      </c>
      <c r="C15" s="51"/>
      <c r="D15" s="28"/>
      <c r="E15" s="14">
        <f>SUM(E5:E13)</f>
        <v>17902847</v>
      </c>
      <c r="F15" s="15">
        <f>SUM(F5:F14)</f>
        <v>2278250</v>
      </c>
      <c r="G15" s="14">
        <f>SUM(G5:G14)</f>
        <v>251261</v>
      </c>
      <c r="H15" s="15">
        <f>SUM(H5:H13)</f>
        <v>1226747</v>
      </c>
      <c r="I15" s="16">
        <f>SUM(I5:I13)</f>
        <v>19205611</v>
      </c>
    </row>
    <row r="16" spans="1:9" x14ac:dyDescent="0.35">
      <c r="A16" s="1"/>
      <c r="B16" s="1"/>
      <c r="C16" s="1"/>
      <c r="D16" s="1"/>
      <c r="E16" s="1"/>
      <c r="F16" s="1"/>
      <c r="G16" s="1"/>
      <c r="H16" s="1"/>
      <c r="I16" s="1"/>
    </row>
    <row r="17" spans="1:9" x14ac:dyDescent="0.35">
      <c r="B17" s="29" t="s">
        <v>25</v>
      </c>
      <c r="C17" s="30"/>
      <c r="D17" s="30"/>
      <c r="E17" s="30"/>
      <c r="F17" s="30"/>
      <c r="G17" s="30"/>
      <c r="H17" s="31"/>
      <c r="I17" s="17" t="s">
        <v>26</v>
      </c>
    </row>
    <row r="18" spans="1:9" x14ac:dyDescent="0.35">
      <c r="A18" s="17" t="s">
        <v>1</v>
      </c>
      <c r="B18" s="54" t="s">
        <v>5</v>
      </c>
      <c r="C18" s="17" t="s">
        <v>27</v>
      </c>
      <c r="D18" s="32" t="s">
        <v>28</v>
      </c>
      <c r="E18" s="34" t="s">
        <v>29</v>
      </c>
      <c r="F18" s="34" t="s">
        <v>30</v>
      </c>
      <c r="G18" s="34" t="s">
        <v>9</v>
      </c>
      <c r="H18" s="32" t="s">
        <v>36</v>
      </c>
      <c r="I18" s="18" t="s">
        <v>31</v>
      </c>
    </row>
    <row r="19" spans="1:9" ht="28" x14ac:dyDescent="0.35">
      <c r="A19" s="18" t="s">
        <v>4</v>
      </c>
      <c r="B19" s="55"/>
      <c r="C19" s="56" t="s">
        <v>34</v>
      </c>
      <c r="D19" s="33"/>
      <c r="E19" s="35"/>
      <c r="F19" s="35"/>
      <c r="G19" s="35"/>
      <c r="H19" s="35"/>
      <c r="I19" s="56" t="s">
        <v>35</v>
      </c>
    </row>
    <row r="20" spans="1:9" x14ac:dyDescent="0.35">
      <c r="A20" s="6">
        <v>1</v>
      </c>
      <c r="B20" s="52" t="s">
        <v>14</v>
      </c>
      <c r="C20" s="19">
        <v>0</v>
      </c>
      <c r="D20" s="19">
        <v>0</v>
      </c>
      <c r="E20" s="20">
        <v>0</v>
      </c>
      <c r="F20" s="21">
        <v>0</v>
      </c>
      <c r="G20" s="21">
        <v>0</v>
      </c>
      <c r="H20" s="21">
        <f>C20+D20+F20-G20</f>
        <v>0</v>
      </c>
      <c r="I20" s="21">
        <f>I5-H20</f>
        <v>472082</v>
      </c>
    </row>
    <row r="21" spans="1:9" x14ac:dyDescent="0.35">
      <c r="A21" s="6">
        <v>2</v>
      </c>
      <c r="B21" s="52" t="s">
        <v>15</v>
      </c>
      <c r="C21" s="19">
        <v>8534414.3000000007</v>
      </c>
      <c r="D21" s="19">
        <v>0</v>
      </c>
      <c r="E21" s="20">
        <v>0.05</v>
      </c>
      <c r="F21" s="21">
        <v>43572</v>
      </c>
      <c r="G21" s="21">
        <v>0</v>
      </c>
      <c r="H21" s="21">
        <f>C21+D21+F21-G21</f>
        <v>8577986.3000000007</v>
      </c>
      <c r="I21" s="21">
        <f>I6-H21</f>
        <v>827873.69999999925</v>
      </c>
    </row>
    <row r="22" spans="1:9" x14ac:dyDescent="0.35">
      <c r="A22" s="6">
        <v>3</v>
      </c>
      <c r="B22" s="52" t="s">
        <v>16</v>
      </c>
      <c r="C22" s="19">
        <v>1245411.68</v>
      </c>
      <c r="D22" s="19">
        <v>66358.570000000007</v>
      </c>
      <c r="E22" s="20">
        <v>0.1</v>
      </c>
      <c r="F22" s="21">
        <v>86423</v>
      </c>
      <c r="G22" s="21">
        <v>11127</v>
      </c>
      <c r="H22" s="21">
        <f>C22+D22+F22-G22</f>
        <v>1387066.25</v>
      </c>
      <c r="I22" s="21">
        <f>I7-H22</f>
        <v>980638.75</v>
      </c>
    </row>
    <row r="23" spans="1:9" x14ac:dyDescent="0.35">
      <c r="A23" s="6">
        <v>4</v>
      </c>
      <c r="B23" s="52" t="s">
        <v>17</v>
      </c>
      <c r="C23" s="19">
        <v>1785286.45</v>
      </c>
      <c r="D23" s="19">
        <v>274288.94</v>
      </c>
      <c r="E23" s="20">
        <v>0.1</v>
      </c>
      <c r="F23" s="21">
        <v>91577</v>
      </c>
      <c r="G23" s="21">
        <v>283555</v>
      </c>
      <c r="H23" s="21">
        <f>C23+D23+F23-G23</f>
        <v>1867597.3899999997</v>
      </c>
      <c r="I23" s="21">
        <f>I8-H23</f>
        <v>1463090.6100000003</v>
      </c>
    </row>
    <row r="24" spans="1:9" x14ac:dyDescent="0.35">
      <c r="A24" s="6">
        <v>5</v>
      </c>
      <c r="B24" s="52" t="s">
        <v>18</v>
      </c>
      <c r="C24" s="19">
        <v>230605.02499999999</v>
      </c>
      <c r="D24" s="19">
        <v>0</v>
      </c>
      <c r="E24" s="20">
        <v>0.15</v>
      </c>
      <c r="F24" s="21">
        <v>164</v>
      </c>
      <c r="G24" s="21">
        <v>0</v>
      </c>
      <c r="H24" s="21">
        <f>C24+D24+F24-G24</f>
        <v>230769.02499999999</v>
      </c>
      <c r="I24" s="21">
        <f>I9-H24</f>
        <v>926.97500000000582</v>
      </c>
    </row>
    <row r="25" spans="1:9" x14ac:dyDescent="0.35">
      <c r="A25" s="6">
        <v>6</v>
      </c>
      <c r="B25" s="52" t="s">
        <v>19</v>
      </c>
      <c r="C25" s="19">
        <v>65429.22</v>
      </c>
      <c r="D25" s="19">
        <v>0</v>
      </c>
      <c r="E25" s="20">
        <v>0.1</v>
      </c>
      <c r="F25" s="21">
        <v>959</v>
      </c>
      <c r="G25" s="21">
        <v>0</v>
      </c>
      <c r="H25" s="21">
        <f>C25+D25+F25-G25</f>
        <v>66388.22</v>
      </c>
      <c r="I25" s="21">
        <f>I10-H25</f>
        <v>2878.7799999999988</v>
      </c>
    </row>
    <row r="26" spans="1:9" x14ac:dyDescent="0.35">
      <c r="A26" s="6">
        <v>7</v>
      </c>
      <c r="B26" s="52" t="s">
        <v>20</v>
      </c>
      <c r="C26" s="19">
        <v>1100138.3999999999</v>
      </c>
      <c r="D26" s="19">
        <v>225600</v>
      </c>
      <c r="E26" s="20">
        <v>0.2</v>
      </c>
      <c r="F26" s="21">
        <v>1926</v>
      </c>
      <c r="G26" s="21">
        <v>178134</v>
      </c>
      <c r="H26" s="21">
        <f>C26+D26+F26-G26</f>
        <v>1149530.3999999999</v>
      </c>
      <c r="I26" s="21">
        <f>I11-H26</f>
        <v>169869.60000000009</v>
      </c>
    </row>
    <row r="27" spans="1:9" x14ac:dyDescent="0.35">
      <c r="A27" s="6">
        <v>8</v>
      </c>
      <c r="B27" s="52" t="s">
        <v>21</v>
      </c>
      <c r="C27" s="22">
        <v>1475175.7999999998</v>
      </c>
      <c r="D27" s="19">
        <v>146978.75</v>
      </c>
      <c r="E27" s="20">
        <v>0.2</v>
      </c>
      <c r="F27" s="21">
        <v>93321</v>
      </c>
      <c r="G27" s="21">
        <v>91191</v>
      </c>
      <c r="H27" s="21">
        <f>C27+D27+F27-G27</f>
        <v>1624284.5499999998</v>
      </c>
      <c r="I27" s="21">
        <f>I12-H27</f>
        <v>384628.45000000019</v>
      </c>
    </row>
    <row r="28" spans="1:9" x14ac:dyDescent="0.35">
      <c r="A28" s="6">
        <v>9</v>
      </c>
      <c r="B28" s="52" t="s">
        <v>22</v>
      </c>
      <c r="C28" s="22">
        <v>0</v>
      </c>
      <c r="D28" s="22">
        <v>0</v>
      </c>
      <c r="E28" s="23">
        <v>0.1</v>
      </c>
      <c r="F28" s="21">
        <v>0</v>
      </c>
      <c r="G28" s="24">
        <v>0</v>
      </c>
      <c r="H28" s="21">
        <f>C28+D28+F28-G28</f>
        <v>0</v>
      </c>
      <c r="I28" s="21">
        <f>I13-H28</f>
        <v>0</v>
      </c>
    </row>
    <row r="29" spans="1:9" x14ac:dyDescent="0.35">
      <c r="A29" s="13" t="s">
        <v>23</v>
      </c>
      <c r="C29" s="25">
        <f>SUM(C20:C28)</f>
        <v>14436460.875</v>
      </c>
      <c r="D29" s="25">
        <f>SUM(D20:D28)</f>
        <v>713226.26</v>
      </c>
      <c r="E29" s="25"/>
      <c r="F29" s="25">
        <f>SUM(F20:F28)</f>
        <v>317942</v>
      </c>
      <c r="G29" s="25">
        <f>SUM(G20:G28)</f>
        <v>564007</v>
      </c>
      <c r="H29" s="25">
        <f>SUM(H20:H28)</f>
        <v>14903622.135000002</v>
      </c>
      <c r="I29" s="26">
        <f>SUM(I20:I28)</f>
        <v>4301988.8650000002</v>
      </c>
    </row>
  </sheetData>
  <mergeCells count="11">
    <mergeCell ref="B18:B19"/>
    <mergeCell ref="A1:H1"/>
    <mergeCell ref="E2:H2"/>
    <mergeCell ref="B3:D3"/>
    <mergeCell ref="B15:D15"/>
    <mergeCell ref="B17:H17"/>
    <mergeCell ref="D18:D19"/>
    <mergeCell ref="E18:E19"/>
    <mergeCell ref="F18:F19"/>
    <mergeCell ref="G18:G19"/>
    <mergeCell ref="H18:H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Kamruzzaman Zaman</dc:creator>
  <cp:lastModifiedBy>Kamruzzaman Zaman</cp:lastModifiedBy>
  <dcterms:created xsi:type="dcterms:W3CDTF">2026-07-27T07:31:51Z</dcterms:created>
  <dcterms:modified xsi:type="dcterms:W3CDTF">2026-07-27T07:39:52Z</dcterms:modified>
</cp:coreProperties>
</file>