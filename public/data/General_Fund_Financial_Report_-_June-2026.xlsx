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KS\OneDrive\Documents\"/>
    </mc:Choice>
  </mc:AlternateContent>
  <xr:revisionPtr revIDLastSave="0" documentId="8_{B75067B4-01C2-48F8-8728-6D1C6365E77F}" xr6:coauthVersionLast="47" xr6:coauthVersionMax="47" xr10:uidLastSave="{00000000-0000-0000-0000-000000000000}"/>
  <bookViews>
    <workbookView xWindow="-110" yWindow="-110" windowWidth="19420" windowHeight="10300" tabRatio="720" xr2:uid="{00000000-000D-0000-FFFF-FFFF00000000}"/>
  </bookViews>
  <sheets>
    <sheet name="Balance Sheet" sheetId="54" r:id="rId1"/>
    <sheet name="I &amp; E " sheetId="53" r:id="rId2"/>
    <sheet name="R &amp; P" sheetId="56" r:id="rId3"/>
  </sheets>
  <definedNames>
    <definedName name="_xlnm._FilterDatabase" localSheetId="2" hidden="1">'R &amp; P'!#REF!</definedName>
    <definedName name="_xlnm.Print_Titles" localSheetId="2">'R &amp; P'!$7:$7</definedName>
  </definedNames>
  <calcPr calcId="181029"/>
</workbook>
</file>

<file path=xl/calcChain.xml><?xml version="1.0" encoding="utf-8"?>
<calcChain xmlns="http://schemas.openxmlformats.org/spreadsheetml/2006/main">
  <c r="A5" i="56" l="1"/>
  <c r="C30" i="54" l="1"/>
  <c r="A39" i="53" l="1"/>
  <c r="A51" i="53" l="1"/>
  <c r="C7" i="56" l="1"/>
  <c r="B7" i="56"/>
  <c r="B19" i="54" l="1"/>
  <c r="C19" i="54"/>
  <c r="B30" i="54" l="1"/>
</calcChain>
</file>

<file path=xl/sharedStrings.xml><?xml version="1.0" encoding="utf-8"?>
<sst xmlns="http://schemas.openxmlformats.org/spreadsheetml/2006/main" count="154" uniqueCount="106">
  <si>
    <t xml:space="preserve">GANGNI, MEHERPUR </t>
  </si>
  <si>
    <t xml:space="preserve">Total : </t>
  </si>
  <si>
    <t xml:space="preserve">Total: </t>
  </si>
  <si>
    <t>RECEIPTS AND PAYMENTS ACCOUNT</t>
  </si>
  <si>
    <t>PARTICULARS</t>
  </si>
  <si>
    <t>RECEIPTS:</t>
  </si>
  <si>
    <t>PAYMENTS:</t>
  </si>
  <si>
    <t>Total Expenditure :</t>
  </si>
  <si>
    <t xml:space="preserve">Total Taka: </t>
  </si>
  <si>
    <t>Opening Balance:</t>
  </si>
  <si>
    <t>Cash in Hand</t>
  </si>
  <si>
    <t>Cash at Bank</t>
  </si>
  <si>
    <t>Bank Charge &amp; Commission</t>
  </si>
  <si>
    <t>Closing Balance:</t>
  </si>
  <si>
    <t>INCOME AND EXPENDITURE ACCOUNT</t>
  </si>
  <si>
    <t>INCOME:</t>
  </si>
  <si>
    <t>EXPENDITURE</t>
  </si>
  <si>
    <t>Total Taka :</t>
  </si>
  <si>
    <t>PROPERTY AND ASSETS:</t>
  </si>
  <si>
    <t>CURRENT ASSETS:</t>
  </si>
  <si>
    <t>FUND AND LIABILITIES:</t>
  </si>
  <si>
    <t>Audit Fees</t>
  </si>
  <si>
    <t>INVESTMENT:</t>
  </si>
  <si>
    <t>Fund Account</t>
  </si>
  <si>
    <t>GENERAL FUND</t>
  </si>
  <si>
    <t>Local Donation</t>
  </si>
  <si>
    <t>Husking Mill</t>
  </si>
  <si>
    <t>Members Subsription Fees</t>
  </si>
  <si>
    <t>Office Overhead</t>
  </si>
  <si>
    <t>Land and Other Tax</t>
  </si>
  <si>
    <t>Traveling and Daily Allowance</t>
  </si>
  <si>
    <t>Membership/Networking Fees</t>
  </si>
  <si>
    <t>Postage and Communication</t>
  </si>
  <si>
    <t>Program Cost</t>
  </si>
  <si>
    <t>Consultation Fees</t>
  </si>
  <si>
    <t>Loss on Disposal of Fixed Assets</t>
  </si>
  <si>
    <t>Depreciation</t>
  </si>
  <si>
    <t>Salary and Benefits</t>
  </si>
  <si>
    <t>Fixed Assets</t>
  </si>
  <si>
    <t>Security Money to PBS</t>
  </si>
  <si>
    <t>Cash and Bank Balance</t>
  </si>
  <si>
    <t>CURRENT LIABILITIES:</t>
  </si>
  <si>
    <t>Security Deposit (Husking Mill)</t>
  </si>
  <si>
    <t>Foreing Donation</t>
  </si>
  <si>
    <t>Loan Collection from Defferent Fund</t>
  </si>
  <si>
    <t xml:space="preserve">Total Taka : </t>
  </si>
  <si>
    <t xml:space="preserve">Total:   </t>
  </si>
  <si>
    <t>Fund Received from Defferent Fund</t>
  </si>
  <si>
    <t xml:space="preserve">Others </t>
  </si>
  <si>
    <t xml:space="preserve">Advertisement and Newsparer Bill </t>
  </si>
  <si>
    <t>Stationary &amp; Printing</t>
  </si>
  <si>
    <t>Furniture and Equipments</t>
  </si>
  <si>
    <t>Loan to Different Fund</t>
  </si>
  <si>
    <t xml:space="preserve">Advertisement and Newspapers Bill </t>
  </si>
  <si>
    <t>Others Expenses</t>
  </si>
  <si>
    <t>Electricity, Gas &amp; Was a Bill</t>
  </si>
  <si>
    <t>Surplus/(Deficit) of Income over Expenditure</t>
  </si>
  <si>
    <t>Sale of Furniture and Equipments</t>
  </si>
  <si>
    <t>Staff Security Money</t>
  </si>
  <si>
    <t>Security Money Received</t>
  </si>
  <si>
    <t>Security Money Return</t>
  </si>
  <si>
    <t>PALASHIPARA SAMAJ KALLAYAN SAMITY</t>
  </si>
  <si>
    <t>Electricity &amp; Gas Bill</t>
  </si>
  <si>
    <t>Loan Received from Defferent Fund</t>
  </si>
  <si>
    <t>Loan Paid to  Different Fund</t>
  </si>
  <si>
    <t>Others</t>
  </si>
  <si>
    <t>Entertaintment</t>
  </si>
  <si>
    <t>Fund Transfer to Defferent Fund</t>
  </si>
  <si>
    <t>Office Rent</t>
  </si>
  <si>
    <t>Fuel and Luricants</t>
  </si>
  <si>
    <t>Fuel and Lubricants</t>
  </si>
  <si>
    <t>Entertentment</t>
  </si>
  <si>
    <t>FDR Purchase</t>
  </si>
  <si>
    <t>VAT and Tax</t>
  </si>
  <si>
    <t>FDR Interest</t>
  </si>
  <si>
    <t>FDR Encashment</t>
  </si>
  <si>
    <t>Repair and Maintance</t>
  </si>
  <si>
    <t>Agriculture/Income Generation</t>
  </si>
  <si>
    <t>Loan from Defferent Fund</t>
  </si>
  <si>
    <t>THIS MONTH</t>
  </si>
  <si>
    <t>THIS YEAR</t>
  </si>
  <si>
    <t>Vehicle Renewal &amp; Insurance</t>
  </si>
  <si>
    <t>Husking Mills (Repair &amp; Maintanance)</t>
  </si>
  <si>
    <t>Provision for Audit Fees</t>
  </si>
  <si>
    <t>Fixed Diposit Investment (FDR)</t>
  </si>
  <si>
    <t>Capital Gain from Sale of Fixed Asset</t>
  </si>
  <si>
    <t>Md. Kamruzzaman</t>
  </si>
  <si>
    <t>Advanch Income Tax</t>
  </si>
  <si>
    <t>Interest on FDR</t>
  </si>
  <si>
    <t>Bank Charge &amp; Commission on FDR</t>
  </si>
  <si>
    <t>Repair and Maintenance</t>
  </si>
  <si>
    <t>Stationery &amp; Printing</t>
  </si>
  <si>
    <t>30/06/2025</t>
  </si>
  <si>
    <t>Training Center</t>
  </si>
  <si>
    <t>Guest Room</t>
  </si>
  <si>
    <t xml:space="preserve">Training Center </t>
  </si>
  <si>
    <t>Office Equipments</t>
  </si>
  <si>
    <t>30/06/2026</t>
  </si>
  <si>
    <t>Md. Mizanur Rahman</t>
  </si>
  <si>
    <t>Deputy Director (Finance)</t>
  </si>
  <si>
    <t>Deputy Executive Director</t>
  </si>
  <si>
    <t>FOR THE MONTH ENDED 30 JUNE- 2026</t>
  </si>
  <si>
    <t>Interest on Staff Security Money</t>
  </si>
  <si>
    <t>Bank Interest</t>
  </si>
  <si>
    <t>Fixed Asset Received in Kind of Donation (SCI)</t>
  </si>
  <si>
    <t>BALANCE SHEET AS AT 30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</si>
</sst>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Font="1"/>
    <xf numFmtId="165" fontId="3" fillId="0" borderId="0" xfId="0" applyNumberFormat="1" applyFont="1"/>
    <xf numFmtId="0" fontId="3" fillId="0" borderId="1" xfId="0" applyFont="1" applyBorder="1"/>
    <xf numFmtId="165" fontId="3" fillId="0" borderId="1" xfId="1" applyNumberFormat="1" applyFont="1" applyBorder="1"/>
    <xf numFmtId="165" fontId="4" fillId="0" borderId="1" xfId="1" applyNumberFormat="1" applyFont="1" applyBorder="1"/>
    <xf numFmtId="165" fontId="3" fillId="0" borderId="1" xfId="1" applyNumberFormat="1" applyFont="1" applyFill="1" applyBorder="1"/>
    <xf numFmtId="165" fontId="3" fillId="0" borderId="7" xfId="1" applyNumberFormat="1" applyFont="1" applyFill="1" applyBorder="1"/>
    <xf numFmtId="0" fontId="3" fillId="0" borderId="5" xfId="0" applyFont="1" applyBorder="1"/>
    <xf numFmtId="165" fontId="4" fillId="0" borderId="0" xfId="0" applyNumberFormat="1" applyFont="1"/>
    <xf numFmtId="0" fontId="4" fillId="0" borderId="1" xfId="0" applyFont="1" applyBorder="1"/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164" fontId="3" fillId="0" borderId="0" xfId="1" applyFont="1" applyAlignment="1">
      <alignment horizontal="right"/>
    </xf>
    <xf numFmtId="14" fontId="4" fillId="0" borderId="1" xfId="0" applyNumberFormat="1" applyFont="1" applyBorder="1" applyAlignment="1">
      <alignment horizontal="center"/>
    </xf>
    <xf numFmtId="165" fontId="3" fillId="0" borderId="1" xfId="1" applyNumberFormat="1" applyFont="1" applyFill="1" applyBorder="1" applyAlignment="1">
      <alignment horizontal="right"/>
    </xf>
    <xf numFmtId="165" fontId="4" fillId="0" borderId="1" xfId="1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165" fontId="3" fillId="0" borderId="1" xfId="1" applyNumberFormat="1" applyFont="1" applyBorder="1" applyAlignment="1">
      <alignment horizontal="left"/>
    </xf>
    <xf numFmtId="165" fontId="3" fillId="0" borderId="1" xfId="1" applyNumberFormat="1" applyFont="1" applyFill="1" applyBorder="1" applyAlignment="1">
      <alignment horizontal="left"/>
    </xf>
    <xf numFmtId="165" fontId="4" fillId="0" borderId="1" xfId="1" applyNumberFormat="1" applyFont="1" applyFill="1" applyBorder="1"/>
    <xf numFmtId="165" fontId="3" fillId="0" borderId="0" xfId="1" applyNumberFormat="1" applyFont="1" applyFill="1" applyBorder="1"/>
    <xf numFmtId="0" fontId="4" fillId="0" borderId="2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0" fontId="3" fillId="0" borderId="7" xfId="0" applyFont="1" applyBorder="1"/>
    <xf numFmtId="0" fontId="4" fillId="0" borderId="5" xfId="0" applyFont="1" applyBorder="1"/>
    <xf numFmtId="0" fontId="4" fillId="0" borderId="5" xfId="0" applyFont="1" applyBorder="1" applyAlignment="1">
      <alignment horizontal="right"/>
    </xf>
    <xf numFmtId="165" fontId="4" fillId="0" borderId="7" xfId="1" applyNumberFormat="1" applyFont="1" applyFill="1" applyBorder="1"/>
    <xf numFmtId="0" fontId="4" fillId="0" borderId="8" xfId="0" applyFont="1" applyBorder="1" applyAlignment="1">
      <alignment horizontal="right"/>
    </xf>
    <xf numFmtId="165" fontId="3" fillId="0" borderId="10" xfId="1" applyNumberFormat="1" applyFont="1" applyFill="1" applyBorder="1"/>
    <xf numFmtId="0" fontId="4" fillId="0" borderId="11" xfId="0" applyFont="1" applyBorder="1" applyAlignment="1">
      <alignment horizontal="right"/>
    </xf>
    <xf numFmtId="165" fontId="4" fillId="0" borderId="14" xfId="1" applyNumberFormat="1" applyFont="1" applyFill="1" applyBorder="1"/>
    <xf numFmtId="165" fontId="3" fillId="0" borderId="1" xfId="0" applyNumberFormat="1" applyFont="1" applyBorder="1"/>
    <xf numFmtId="165" fontId="3" fillId="0" borderId="0" xfId="1" applyNumberFormat="1" applyFont="1" applyBorder="1" applyAlignment="1">
      <alignment horizontal="left"/>
    </xf>
    <xf numFmtId="165" fontId="3" fillId="0" borderId="0" xfId="1" applyNumberFormat="1" applyFont="1" applyFill="1" applyBorder="1" applyAlignment="1">
      <alignment horizontal="left"/>
    </xf>
    <xf numFmtId="0" fontId="4" fillId="0" borderId="0" xfId="0" applyFont="1"/>
    <xf numFmtId="0" fontId="3" fillId="0" borderId="13" xfId="0" applyFont="1" applyBorder="1"/>
    <xf numFmtId="0" fontId="4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5" xfId="0" applyFont="1" applyBorder="1" applyAlignment="1">
      <alignment horizontal="left"/>
    </xf>
    <xf numFmtId="165" fontId="6" fillId="0" borderId="1" xfId="1" applyNumberFormat="1" applyFont="1" applyFill="1" applyBorder="1"/>
    <xf numFmtId="165" fontId="7" fillId="0" borderId="1" xfId="1" applyNumberFormat="1" applyFont="1" applyFill="1" applyBorder="1"/>
    <xf numFmtId="0" fontId="6" fillId="0" borderId="1" xfId="0" applyFont="1" applyBorder="1"/>
    <xf numFmtId="165" fontId="6" fillId="0" borderId="6" xfId="1" applyNumberFormat="1" applyFont="1" applyFill="1" applyBorder="1"/>
    <xf numFmtId="165" fontId="6" fillId="0" borderId="9" xfId="1" applyNumberFormat="1" applyFont="1" applyFill="1" applyBorder="1"/>
    <xf numFmtId="165" fontId="7" fillId="0" borderId="12" xfId="1" applyNumberFormat="1" applyFont="1" applyFill="1" applyBorder="1"/>
    <xf numFmtId="165" fontId="3" fillId="0" borderId="0" xfId="1" applyNumberFormat="1" applyFont="1" applyAlignment="1">
      <alignment horizontal="right"/>
    </xf>
    <xf numFmtId="165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3">
    <cellStyle name="Comma" xfId="1" builtinId="3"/>
    <cellStyle name="Comma 4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topLeftCell="A19" zoomScale="120" zoomScaleNormal="120" workbookViewId="0">
      <selection activeCell="C30" sqref="C30"/>
    </sheetView>
  </sheetViews>
  <sheetFormatPr defaultColWidth="9.08984375" defaultRowHeight="14" x14ac:dyDescent="0.3"/>
  <cols>
    <col min="1" max="1" width="44.08984375" style="1" customWidth="1"/>
    <col min="2" max="2" width="16.453125" style="1" customWidth="1"/>
    <col min="3" max="3" width="16" style="1" customWidth="1"/>
    <col min="4" max="16384" width="9.08984375" style="1"/>
  </cols>
  <sheetData>
    <row r="1" spans="1:3" x14ac:dyDescent="0.3">
      <c r="A1" s="49" t="s">
        <v>61</v>
      </c>
      <c r="B1" s="49"/>
      <c r="C1" s="49"/>
    </row>
    <row r="2" spans="1:3" x14ac:dyDescent="0.3">
      <c r="A2" s="49" t="s">
        <v>0</v>
      </c>
      <c r="B2" s="49"/>
      <c r="C2" s="49"/>
    </row>
    <row r="3" spans="1:3" x14ac:dyDescent="0.3">
      <c r="A3" s="49" t="s">
        <v>24</v>
      </c>
      <c r="B3" s="49"/>
      <c r="C3" s="49"/>
    </row>
    <row r="4" spans="1:3" x14ac:dyDescent="0.3">
      <c r="A4" s="49" t="s">
        <v>105</v>
      </c>
      <c r="B4" s="49"/>
      <c r="C4" s="49"/>
    </row>
    <row r="6" spans="1:3" x14ac:dyDescent="0.3">
      <c r="A6" s="38" t="s">
        <v>18</v>
      </c>
      <c r="B6" s="11" t="s">
        <v>97</v>
      </c>
      <c r="C6" s="11" t="s">
        <v>92</v>
      </c>
    </row>
    <row r="7" spans="1:3" x14ac:dyDescent="0.3">
      <c r="A7" s="3"/>
      <c r="B7" s="3"/>
      <c r="C7" s="3"/>
    </row>
    <row r="8" spans="1:3" x14ac:dyDescent="0.3">
      <c r="A8" s="10" t="s">
        <v>22</v>
      </c>
      <c r="B8" s="4"/>
      <c r="C8" s="4"/>
    </row>
    <row r="9" spans="1:3" x14ac:dyDescent="0.3">
      <c r="A9" s="3" t="s">
        <v>38</v>
      </c>
      <c r="B9" s="4">
        <v>4301988.8650000002</v>
      </c>
      <c r="C9" s="4">
        <v>3466386</v>
      </c>
    </row>
    <row r="10" spans="1:3" x14ac:dyDescent="0.3">
      <c r="A10" s="3"/>
      <c r="B10" s="4"/>
      <c r="C10" s="4"/>
    </row>
    <row r="11" spans="1:3" x14ac:dyDescent="0.3">
      <c r="A11" s="3"/>
      <c r="B11" s="4"/>
      <c r="C11" s="4"/>
    </row>
    <row r="12" spans="1:3" x14ac:dyDescent="0.3">
      <c r="A12" s="10" t="s">
        <v>19</v>
      </c>
      <c r="B12" s="4"/>
      <c r="C12" s="4"/>
    </row>
    <row r="13" spans="1:3" x14ac:dyDescent="0.3">
      <c r="A13" s="3" t="s">
        <v>39</v>
      </c>
      <c r="B13" s="4">
        <v>11314</v>
      </c>
      <c r="C13" s="4">
        <v>11314</v>
      </c>
    </row>
    <row r="14" spans="1:3" x14ac:dyDescent="0.3">
      <c r="A14" s="3" t="s">
        <v>52</v>
      </c>
      <c r="B14" s="4">
        <v>0</v>
      </c>
      <c r="C14" s="4">
        <v>0</v>
      </c>
    </row>
    <row r="15" spans="1:3" x14ac:dyDescent="0.3">
      <c r="A15" s="3" t="s">
        <v>84</v>
      </c>
      <c r="B15" s="4">
        <v>2340225</v>
      </c>
      <c r="C15" s="4">
        <v>1500000</v>
      </c>
    </row>
    <row r="16" spans="1:3" x14ac:dyDescent="0.3">
      <c r="A16" s="39" t="s">
        <v>87</v>
      </c>
      <c r="B16" s="4">
        <v>16693</v>
      </c>
      <c r="C16" s="4">
        <v>22367</v>
      </c>
    </row>
    <row r="17" spans="1:3" x14ac:dyDescent="0.3">
      <c r="A17" s="39" t="s">
        <v>88</v>
      </c>
      <c r="B17" s="4">
        <v>-150</v>
      </c>
      <c r="C17" s="4">
        <v>-300</v>
      </c>
    </row>
    <row r="18" spans="1:3" x14ac:dyDescent="0.3">
      <c r="A18" s="3" t="s">
        <v>40</v>
      </c>
      <c r="B18" s="4">
        <v>796683</v>
      </c>
      <c r="C18" s="4">
        <v>317224</v>
      </c>
    </row>
    <row r="19" spans="1:3" x14ac:dyDescent="0.3">
      <c r="A19" s="12" t="s">
        <v>8</v>
      </c>
      <c r="B19" s="5">
        <f>SUM(B9:B18)</f>
        <v>7466753.8650000002</v>
      </c>
      <c r="C19" s="5">
        <f>SUM(C9:C18)</f>
        <v>5316991</v>
      </c>
    </row>
    <row r="20" spans="1:3" x14ac:dyDescent="0.3">
      <c r="A20" s="12"/>
      <c r="B20" s="5"/>
      <c r="C20" s="5"/>
    </row>
    <row r="21" spans="1:3" x14ac:dyDescent="0.3">
      <c r="A21" s="10" t="s">
        <v>20</v>
      </c>
      <c r="B21" s="4"/>
      <c r="C21" s="4"/>
    </row>
    <row r="22" spans="1:3" x14ac:dyDescent="0.3">
      <c r="A22" s="3" t="s">
        <v>23</v>
      </c>
      <c r="B22" s="4">
        <v>7450753.7400000002</v>
      </c>
      <c r="C22" s="4">
        <v>5290991</v>
      </c>
    </row>
    <row r="23" spans="1:3" x14ac:dyDescent="0.3">
      <c r="A23" s="3"/>
      <c r="B23" s="4"/>
      <c r="C23" s="4"/>
    </row>
    <row r="24" spans="1:3" x14ac:dyDescent="0.3">
      <c r="A24" s="10" t="s">
        <v>41</v>
      </c>
      <c r="B24" s="4"/>
      <c r="C24" s="4"/>
    </row>
    <row r="25" spans="1:3" x14ac:dyDescent="0.3">
      <c r="A25" s="3" t="s">
        <v>42</v>
      </c>
      <c r="B25" s="4">
        <v>10000</v>
      </c>
      <c r="C25" s="4">
        <v>10000</v>
      </c>
    </row>
    <row r="26" spans="1:3" x14ac:dyDescent="0.3">
      <c r="A26" s="3" t="s">
        <v>58</v>
      </c>
      <c r="B26" s="4">
        <v>0</v>
      </c>
      <c r="C26" s="4">
        <v>10000</v>
      </c>
    </row>
    <row r="27" spans="1:3" x14ac:dyDescent="0.3">
      <c r="A27" s="3" t="s">
        <v>78</v>
      </c>
      <c r="B27" s="4">
        <v>0</v>
      </c>
      <c r="C27" s="4">
        <v>0</v>
      </c>
    </row>
    <row r="28" spans="1:3" x14ac:dyDescent="0.3">
      <c r="A28" s="3" t="s">
        <v>83</v>
      </c>
      <c r="B28" s="4">
        <v>6000</v>
      </c>
      <c r="C28" s="4">
        <v>6000</v>
      </c>
    </row>
    <row r="29" spans="1:3" x14ac:dyDescent="0.3">
      <c r="A29" s="3"/>
      <c r="B29" s="4"/>
      <c r="C29" s="4"/>
    </row>
    <row r="30" spans="1:3" s="36" customFormat="1" x14ac:dyDescent="0.3">
      <c r="A30" s="12" t="s">
        <v>17</v>
      </c>
      <c r="B30" s="5">
        <f>SUM(B22:B29)</f>
        <v>7466753.7400000002</v>
      </c>
      <c r="C30" s="5">
        <f>SUM(C22:C29)</f>
        <v>5316991</v>
      </c>
    </row>
    <row r="31" spans="1:3" x14ac:dyDescent="0.3">
      <c r="B31" s="2"/>
    </row>
    <row r="32" spans="1:3" x14ac:dyDescent="0.3">
      <c r="B32" s="47"/>
      <c r="C32" s="13"/>
    </row>
    <row r="33" spans="1:3" x14ac:dyDescent="0.3">
      <c r="B33" s="2"/>
    </row>
    <row r="34" spans="1:3" x14ac:dyDescent="0.3">
      <c r="A34" s="1" t="s">
        <v>98</v>
      </c>
      <c r="B34" s="50" t="s">
        <v>86</v>
      </c>
      <c r="C34" s="50"/>
    </row>
    <row r="35" spans="1:3" x14ac:dyDescent="0.3">
      <c r="A35" s="1" t="s">
        <v>99</v>
      </c>
      <c r="B35" s="48" t="s">
        <v>100</v>
      </c>
      <c r="C35" s="48"/>
    </row>
  </sheetData>
  <mergeCells count="6">
    <mergeCell ref="B35:C35"/>
    <mergeCell ref="A1:C1"/>
    <mergeCell ref="A2:C2"/>
    <mergeCell ref="A3:C3"/>
    <mergeCell ref="A4:C4"/>
    <mergeCell ref="B34:C34"/>
  </mergeCells>
  <phoneticPr fontId="0" type="noConversion"/>
  <printOptions horizontalCentered="1"/>
  <pageMargins left="0.75" right="0.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"/>
  <sheetViews>
    <sheetView zoomScale="150" zoomScaleNormal="150" workbookViewId="0">
      <selection activeCell="D9" sqref="D9"/>
    </sheetView>
  </sheetViews>
  <sheetFormatPr defaultColWidth="9.08984375" defaultRowHeight="14" x14ac:dyDescent="0.3"/>
  <cols>
    <col min="1" max="1" width="48.08984375" style="1" customWidth="1"/>
    <col min="2" max="2" width="15.453125" style="1" customWidth="1"/>
    <col min="3" max="3" width="15.36328125" style="1" customWidth="1"/>
    <col min="4" max="4" width="11.54296875" style="1" customWidth="1"/>
    <col min="5" max="16384" width="9.08984375" style="1"/>
  </cols>
  <sheetData>
    <row r="1" spans="1:3" x14ac:dyDescent="0.3">
      <c r="A1" s="49" t="s">
        <v>61</v>
      </c>
      <c r="B1" s="49"/>
      <c r="C1" s="49"/>
    </row>
    <row r="2" spans="1:3" x14ac:dyDescent="0.3">
      <c r="A2" s="49" t="s">
        <v>0</v>
      </c>
      <c r="B2" s="49"/>
      <c r="C2" s="49"/>
    </row>
    <row r="3" spans="1:3" x14ac:dyDescent="0.3">
      <c r="A3" s="49" t="s">
        <v>24</v>
      </c>
      <c r="B3" s="49"/>
      <c r="C3" s="49"/>
    </row>
    <row r="4" spans="1:3" x14ac:dyDescent="0.3">
      <c r="A4" s="49" t="s">
        <v>14</v>
      </c>
      <c r="B4" s="49"/>
      <c r="C4" s="49"/>
    </row>
    <row r="5" spans="1:3" x14ac:dyDescent="0.3">
      <c r="A5" s="49" t="s">
        <v>101</v>
      </c>
      <c r="B5" s="49"/>
      <c r="C5" s="49"/>
    </row>
    <row r="6" spans="1:3" ht="8.25" customHeight="1" x14ac:dyDescent="0.3"/>
    <row r="7" spans="1:3" x14ac:dyDescent="0.3">
      <c r="A7" s="38" t="s">
        <v>4</v>
      </c>
      <c r="B7" s="14" t="s">
        <v>79</v>
      </c>
      <c r="C7" s="14" t="s">
        <v>80</v>
      </c>
    </row>
    <row r="8" spans="1:3" x14ac:dyDescent="0.3">
      <c r="A8" s="3"/>
      <c r="B8" s="3"/>
      <c r="C8" s="3"/>
    </row>
    <row r="9" spans="1:3" x14ac:dyDescent="0.3">
      <c r="A9" s="10" t="s">
        <v>15</v>
      </c>
      <c r="B9" s="4"/>
      <c r="C9" s="4"/>
    </row>
    <row r="10" spans="1:3" x14ac:dyDescent="0.3">
      <c r="A10" s="3" t="s">
        <v>77</v>
      </c>
      <c r="B10" s="4">
        <v>0</v>
      </c>
      <c r="C10" s="4">
        <v>550</v>
      </c>
    </row>
    <row r="11" spans="1:3" x14ac:dyDescent="0.3">
      <c r="A11" s="3" t="s">
        <v>85</v>
      </c>
      <c r="B11" s="4">
        <v>0</v>
      </c>
      <c r="C11" s="4">
        <v>263030</v>
      </c>
    </row>
    <row r="12" spans="1:3" x14ac:dyDescent="0.3">
      <c r="A12" s="3" t="s">
        <v>104</v>
      </c>
      <c r="B12" s="4">
        <v>1565023.74</v>
      </c>
      <c r="C12" s="4">
        <v>1565023.74</v>
      </c>
    </row>
    <row r="13" spans="1:3" x14ac:dyDescent="0.3">
      <c r="A13" s="3" t="s">
        <v>74</v>
      </c>
      <c r="B13" s="15">
        <v>0</v>
      </c>
      <c r="C13" s="15">
        <v>143177</v>
      </c>
    </row>
    <row r="14" spans="1:3" x14ac:dyDescent="0.3">
      <c r="A14" s="3" t="s">
        <v>43</v>
      </c>
      <c r="B14" s="4">
        <v>0</v>
      </c>
      <c r="C14" s="4">
        <v>0</v>
      </c>
    </row>
    <row r="15" spans="1:3" x14ac:dyDescent="0.3">
      <c r="A15" s="3" t="s">
        <v>47</v>
      </c>
      <c r="B15" s="4">
        <v>0</v>
      </c>
      <c r="C15" s="4">
        <v>0</v>
      </c>
    </row>
    <row r="16" spans="1:3" x14ac:dyDescent="0.3">
      <c r="A16" s="3" t="s">
        <v>26</v>
      </c>
      <c r="B16" s="4">
        <v>18000</v>
      </c>
      <c r="C16" s="4">
        <v>108000</v>
      </c>
    </row>
    <row r="17" spans="1:4" x14ac:dyDescent="0.3">
      <c r="A17" s="3" t="s">
        <v>25</v>
      </c>
      <c r="B17" s="4">
        <v>120000</v>
      </c>
      <c r="C17" s="4">
        <v>170000</v>
      </c>
    </row>
    <row r="18" spans="1:4" x14ac:dyDescent="0.3">
      <c r="A18" s="3" t="s">
        <v>27</v>
      </c>
      <c r="B18" s="4">
        <v>4000</v>
      </c>
      <c r="C18" s="4">
        <v>6100</v>
      </c>
    </row>
    <row r="19" spans="1:4" x14ac:dyDescent="0.3">
      <c r="A19" s="3" t="s">
        <v>28</v>
      </c>
      <c r="B19" s="4">
        <v>136609</v>
      </c>
      <c r="C19" s="4">
        <v>659292</v>
      </c>
    </row>
    <row r="20" spans="1:4" x14ac:dyDescent="0.3">
      <c r="A20" s="3" t="s">
        <v>68</v>
      </c>
      <c r="B20" s="4">
        <v>145874</v>
      </c>
      <c r="C20" s="4">
        <v>863244</v>
      </c>
    </row>
    <row r="21" spans="1:4" x14ac:dyDescent="0.3">
      <c r="A21" s="3" t="s">
        <v>65</v>
      </c>
      <c r="B21" s="4">
        <v>0</v>
      </c>
      <c r="C21" s="4">
        <v>62499</v>
      </c>
    </row>
    <row r="22" spans="1:4" x14ac:dyDescent="0.3">
      <c r="A22" s="3" t="s">
        <v>94</v>
      </c>
      <c r="B22" s="15">
        <v>13500</v>
      </c>
      <c r="C22" s="15">
        <v>87500</v>
      </c>
    </row>
    <row r="23" spans="1:4" x14ac:dyDescent="0.3">
      <c r="A23" s="3" t="s">
        <v>95</v>
      </c>
      <c r="B23" s="15">
        <v>0</v>
      </c>
      <c r="C23" s="15">
        <v>29000</v>
      </c>
    </row>
    <row r="24" spans="1:4" x14ac:dyDescent="0.3">
      <c r="A24" s="3" t="s">
        <v>103</v>
      </c>
      <c r="B24" s="15">
        <v>417</v>
      </c>
      <c r="C24" s="15">
        <v>417</v>
      </c>
    </row>
    <row r="25" spans="1:4" x14ac:dyDescent="0.3">
      <c r="A25" s="12" t="s">
        <v>8</v>
      </c>
      <c r="B25" s="16">
        <v>2003423.74</v>
      </c>
      <c r="C25" s="16">
        <v>3957832.74</v>
      </c>
    </row>
    <row r="26" spans="1:4" x14ac:dyDescent="0.3">
      <c r="A26" s="12"/>
      <c r="B26" s="16"/>
      <c r="C26" s="16"/>
    </row>
    <row r="27" spans="1:4" x14ac:dyDescent="0.3">
      <c r="A27" s="10" t="s">
        <v>16</v>
      </c>
      <c r="B27" s="4"/>
      <c r="C27" s="4"/>
    </row>
    <row r="28" spans="1:4" x14ac:dyDescent="0.3">
      <c r="A28" s="17" t="s">
        <v>49</v>
      </c>
      <c r="B28" s="18">
        <v>0</v>
      </c>
      <c r="C28" s="18">
        <v>0</v>
      </c>
      <c r="D28" s="34"/>
    </row>
    <row r="29" spans="1:4" x14ac:dyDescent="0.3">
      <c r="A29" s="18" t="s">
        <v>77</v>
      </c>
      <c r="B29" s="18">
        <v>0</v>
      </c>
      <c r="C29" s="18">
        <v>0</v>
      </c>
      <c r="D29" s="34"/>
    </row>
    <row r="30" spans="1:4" x14ac:dyDescent="0.3">
      <c r="A30" s="17" t="s">
        <v>21</v>
      </c>
      <c r="B30" s="18">
        <v>6000</v>
      </c>
      <c r="C30" s="18">
        <v>6000</v>
      </c>
      <c r="D30" s="34"/>
    </row>
    <row r="31" spans="1:4" x14ac:dyDescent="0.3">
      <c r="A31" s="17" t="s">
        <v>12</v>
      </c>
      <c r="B31" s="19">
        <v>466</v>
      </c>
      <c r="C31" s="19">
        <v>961</v>
      </c>
      <c r="D31" s="35"/>
    </row>
    <row r="32" spans="1:4" x14ac:dyDescent="0.3">
      <c r="A32" s="39" t="s">
        <v>89</v>
      </c>
      <c r="B32" s="19">
        <v>150</v>
      </c>
      <c r="C32" s="19">
        <v>1150</v>
      </c>
      <c r="D32" s="35"/>
    </row>
    <row r="33" spans="1:4" x14ac:dyDescent="0.3">
      <c r="A33" s="17" t="s">
        <v>34</v>
      </c>
      <c r="B33" s="19">
        <v>0</v>
      </c>
      <c r="C33" s="19">
        <v>0</v>
      </c>
      <c r="D33" s="35"/>
    </row>
    <row r="34" spans="1:4" x14ac:dyDescent="0.3">
      <c r="A34" s="17" t="s">
        <v>36</v>
      </c>
      <c r="B34" s="19">
        <v>317942</v>
      </c>
      <c r="C34" s="19">
        <v>317942</v>
      </c>
      <c r="D34" s="35"/>
    </row>
    <row r="35" spans="1:4" x14ac:dyDescent="0.3">
      <c r="A35" s="17" t="s">
        <v>55</v>
      </c>
      <c r="B35" s="6">
        <v>13701</v>
      </c>
      <c r="C35" s="6">
        <v>48827</v>
      </c>
      <c r="D35" s="21"/>
    </row>
    <row r="36" spans="1:4" x14ac:dyDescent="0.3">
      <c r="A36" s="17" t="s">
        <v>71</v>
      </c>
      <c r="B36" s="6">
        <v>0</v>
      </c>
      <c r="C36" s="6">
        <v>7847</v>
      </c>
      <c r="D36" s="21"/>
    </row>
    <row r="37" spans="1:4" x14ac:dyDescent="0.3">
      <c r="A37" s="17" t="s">
        <v>70</v>
      </c>
      <c r="B37" s="6">
        <v>1600</v>
      </c>
      <c r="C37" s="6">
        <v>7914</v>
      </c>
      <c r="D37" s="21"/>
    </row>
    <row r="38" spans="1:4" x14ac:dyDescent="0.3">
      <c r="A38" s="17" t="s">
        <v>67</v>
      </c>
      <c r="B38" s="6">
        <v>0</v>
      </c>
      <c r="C38" s="6">
        <v>0</v>
      </c>
      <c r="D38" s="21"/>
    </row>
    <row r="39" spans="1:4" x14ac:dyDescent="0.3">
      <c r="A39" s="17" t="str">
        <f>+'R &amp; P'!A49</f>
        <v>Husking Mills (Repair &amp; Maintanance)</v>
      </c>
      <c r="B39" s="6">
        <v>1500</v>
      </c>
      <c r="C39" s="6">
        <v>11349</v>
      </c>
      <c r="D39" s="21"/>
    </row>
    <row r="40" spans="1:4" x14ac:dyDescent="0.3">
      <c r="A40" s="17" t="s">
        <v>29</v>
      </c>
      <c r="B40" s="19">
        <v>0</v>
      </c>
      <c r="C40" s="19">
        <v>48037</v>
      </c>
      <c r="D40" s="35"/>
    </row>
    <row r="41" spans="1:4" x14ac:dyDescent="0.3">
      <c r="A41" s="17" t="s">
        <v>35</v>
      </c>
      <c r="B41" s="19">
        <v>662740</v>
      </c>
      <c r="C41" s="19">
        <v>662740</v>
      </c>
      <c r="D41" s="35"/>
    </row>
    <row r="42" spans="1:4" x14ac:dyDescent="0.3">
      <c r="A42" s="17" t="s">
        <v>31</v>
      </c>
      <c r="B42" s="19">
        <v>0</v>
      </c>
      <c r="C42" s="19">
        <v>1900</v>
      </c>
      <c r="D42" s="35"/>
    </row>
    <row r="43" spans="1:4" x14ac:dyDescent="0.3">
      <c r="A43" s="17" t="s">
        <v>54</v>
      </c>
      <c r="B43" s="18">
        <v>6200</v>
      </c>
      <c r="C43" s="18">
        <v>13997</v>
      </c>
      <c r="D43" s="34"/>
    </row>
    <row r="44" spans="1:4" x14ac:dyDescent="0.3">
      <c r="A44" s="17" t="s">
        <v>32</v>
      </c>
      <c r="B44" s="18">
        <v>1429</v>
      </c>
      <c r="C44" s="18">
        <v>8831</v>
      </c>
      <c r="D44" s="34"/>
    </row>
    <row r="45" spans="1:4" x14ac:dyDescent="0.3">
      <c r="A45" s="17" t="s">
        <v>33</v>
      </c>
      <c r="B45" s="18">
        <v>0</v>
      </c>
      <c r="C45" s="18">
        <v>59000</v>
      </c>
      <c r="D45" s="34"/>
    </row>
    <row r="46" spans="1:4" x14ac:dyDescent="0.3">
      <c r="A46" s="17" t="s">
        <v>76</v>
      </c>
      <c r="B46" s="18">
        <v>0</v>
      </c>
      <c r="C46" s="18">
        <v>241046</v>
      </c>
      <c r="D46" s="34"/>
    </row>
    <row r="47" spans="1:4" x14ac:dyDescent="0.3">
      <c r="A47" s="17" t="s">
        <v>37</v>
      </c>
      <c r="B47" s="18">
        <v>24406</v>
      </c>
      <c r="C47" s="18">
        <v>279448</v>
      </c>
      <c r="D47" s="34"/>
    </row>
    <row r="48" spans="1:4" x14ac:dyDescent="0.3">
      <c r="A48" s="17" t="s">
        <v>50</v>
      </c>
      <c r="B48" s="18">
        <v>0</v>
      </c>
      <c r="C48" s="18">
        <v>6041</v>
      </c>
      <c r="D48" s="34"/>
    </row>
    <row r="49" spans="1:4" x14ac:dyDescent="0.3">
      <c r="A49" s="17" t="s">
        <v>30</v>
      </c>
      <c r="B49" s="18">
        <v>0</v>
      </c>
      <c r="C49" s="18">
        <v>49565</v>
      </c>
      <c r="D49" s="34"/>
    </row>
    <row r="50" spans="1:4" x14ac:dyDescent="0.3">
      <c r="A50" s="17" t="s">
        <v>73</v>
      </c>
      <c r="B50" s="18">
        <v>0</v>
      </c>
      <c r="C50" s="18">
        <v>0</v>
      </c>
      <c r="D50" s="34"/>
    </row>
    <row r="51" spans="1:4" x14ac:dyDescent="0.3">
      <c r="A51" s="17" t="str">
        <f>'R &amp; P'!A64</f>
        <v>Vehicle Renewal &amp; Insurance</v>
      </c>
      <c r="B51" s="18">
        <v>0</v>
      </c>
      <c r="C51" s="18">
        <v>0</v>
      </c>
      <c r="D51" s="34"/>
    </row>
    <row r="52" spans="1:4" x14ac:dyDescent="0.3">
      <c r="A52" s="3" t="s">
        <v>102</v>
      </c>
      <c r="B52" s="18">
        <v>2958</v>
      </c>
      <c r="C52" s="18">
        <v>2958</v>
      </c>
      <c r="D52" s="34"/>
    </row>
    <row r="53" spans="1:4" s="36" customFormat="1" x14ac:dyDescent="0.3">
      <c r="A53" s="12" t="s">
        <v>7</v>
      </c>
      <c r="B53" s="5">
        <v>1039092</v>
      </c>
      <c r="C53" s="5">
        <v>1775553</v>
      </c>
    </row>
    <row r="54" spans="1:4" x14ac:dyDescent="0.3">
      <c r="A54" s="3"/>
      <c r="B54" s="3"/>
      <c r="C54" s="3"/>
    </row>
    <row r="55" spans="1:4" x14ac:dyDescent="0.3">
      <c r="A55" s="3" t="s">
        <v>56</v>
      </c>
      <c r="B55" s="33">
        <v>964331.74</v>
      </c>
      <c r="C55" s="33">
        <v>2182279.7400000002</v>
      </c>
    </row>
    <row r="56" spans="1:4" x14ac:dyDescent="0.3">
      <c r="A56" s="3"/>
      <c r="B56" s="4"/>
      <c r="C56" s="4"/>
    </row>
    <row r="57" spans="1:4" x14ac:dyDescent="0.3">
      <c r="A57" s="12" t="s">
        <v>17</v>
      </c>
      <c r="B57" s="5">
        <v>2003423.74</v>
      </c>
      <c r="C57" s="5">
        <v>3957832.74</v>
      </c>
    </row>
    <row r="58" spans="1:4" x14ac:dyDescent="0.3">
      <c r="B58" s="2"/>
    </row>
    <row r="59" spans="1:4" ht="9" customHeight="1" x14ac:dyDescent="0.3">
      <c r="B59" s="2"/>
      <c r="C59" s="2"/>
    </row>
    <row r="60" spans="1:4" x14ac:dyDescent="0.3">
      <c r="A60" s="1" t="s">
        <v>98</v>
      </c>
      <c r="B60" s="50" t="s">
        <v>86</v>
      </c>
      <c r="C60" s="50"/>
    </row>
    <row r="61" spans="1:4" x14ac:dyDescent="0.3">
      <c r="A61" s="1" t="s">
        <v>99</v>
      </c>
      <c r="B61" s="50" t="s">
        <v>100</v>
      </c>
      <c r="C61" s="50"/>
    </row>
  </sheetData>
  <sortState xmlns:xlrd2="http://schemas.microsoft.com/office/spreadsheetml/2017/richdata2" ref="A29:C51">
    <sortCondition ref="A28"/>
  </sortState>
  <mergeCells count="7">
    <mergeCell ref="B60:C60"/>
    <mergeCell ref="B61:C61"/>
    <mergeCell ref="A5:C5"/>
    <mergeCell ref="A1:C1"/>
    <mergeCell ref="A2:C2"/>
    <mergeCell ref="A3:C3"/>
    <mergeCell ref="A4:C4"/>
  </mergeCells>
  <phoneticPr fontId="0" type="noConversion"/>
  <printOptions horizontalCentered="1"/>
  <pageMargins left="0.75" right="0.5" top="0.5" bottom="0.25" header="0.5" footer="0.5"/>
  <pageSetup paperSize="9" scale="9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7"/>
  <sheetViews>
    <sheetView topLeftCell="A70" zoomScale="150" zoomScaleNormal="150" workbookViewId="0">
      <selection activeCell="E6" sqref="E6"/>
    </sheetView>
  </sheetViews>
  <sheetFormatPr defaultColWidth="9.08984375" defaultRowHeight="14" x14ac:dyDescent="0.3"/>
  <cols>
    <col min="1" max="1" width="43.08984375" style="1" customWidth="1"/>
    <col min="2" max="2" width="16.36328125" style="1" customWidth="1"/>
    <col min="3" max="3" width="16.453125" style="1" customWidth="1"/>
    <col min="4" max="4" width="10.453125" style="1" bestFit="1" customWidth="1"/>
    <col min="5" max="16384" width="9.08984375" style="1"/>
  </cols>
  <sheetData>
    <row r="1" spans="1:3" x14ac:dyDescent="0.3">
      <c r="A1" s="49" t="s">
        <v>61</v>
      </c>
      <c r="B1" s="49"/>
      <c r="C1" s="49"/>
    </row>
    <row r="2" spans="1:3" x14ac:dyDescent="0.3">
      <c r="A2" s="49" t="s">
        <v>0</v>
      </c>
      <c r="B2" s="49"/>
      <c r="C2" s="49"/>
    </row>
    <row r="3" spans="1:3" x14ac:dyDescent="0.3">
      <c r="A3" s="49" t="s">
        <v>24</v>
      </c>
      <c r="B3" s="49"/>
      <c r="C3" s="49"/>
    </row>
    <row r="4" spans="1:3" x14ac:dyDescent="0.3">
      <c r="A4" s="49" t="s">
        <v>3</v>
      </c>
      <c r="B4" s="49"/>
      <c r="C4" s="49"/>
    </row>
    <row r="5" spans="1:3" x14ac:dyDescent="0.3">
      <c r="A5" s="49" t="str">
        <f>'I &amp; E '!A5:C5</f>
        <v>FOR THE MONTH ENDED 30 JUNE- 2026</v>
      </c>
      <c r="B5" s="49"/>
      <c r="C5" s="49"/>
    </row>
    <row r="6" spans="1:3" ht="14.5" thickBot="1" x14ac:dyDescent="0.35"/>
    <row r="7" spans="1:3" ht="14.5" thickTop="1" x14ac:dyDescent="0.3">
      <c r="A7" s="22" t="s">
        <v>4</v>
      </c>
      <c r="B7" s="23" t="str">
        <f>'I &amp; E '!B7</f>
        <v>THIS MONTH</v>
      </c>
      <c r="C7" s="24" t="str">
        <f>'I &amp; E '!C7</f>
        <v>THIS YEAR</v>
      </c>
    </row>
    <row r="8" spans="1:3" x14ac:dyDescent="0.3">
      <c r="A8" s="8"/>
      <c r="B8" s="3"/>
      <c r="C8" s="25"/>
    </row>
    <row r="9" spans="1:3" x14ac:dyDescent="0.3">
      <c r="A9" s="26" t="s">
        <v>5</v>
      </c>
      <c r="B9" s="6"/>
      <c r="C9" s="7"/>
    </row>
    <row r="10" spans="1:3" x14ac:dyDescent="0.3">
      <c r="A10" s="26" t="s">
        <v>9</v>
      </c>
      <c r="B10" s="6"/>
      <c r="C10" s="7"/>
    </row>
    <row r="11" spans="1:3" x14ac:dyDescent="0.3">
      <c r="A11" s="8" t="s">
        <v>10</v>
      </c>
      <c r="B11" s="41">
        <v>3723</v>
      </c>
      <c r="C11" s="7">
        <v>0</v>
      </c>
    </row>
    <row r="12" spans="1:3" x14ac:dyDescent="0.3">
      <c r="A12" s="8" t="s">
        <v>11</v>
      </c>
      <c r="B12" s="41">
        <v>595480</v>
      </c>
      <c r="C12" s="7">
        <v>317224</v>
      </c>
    </row>
    <row r="13" spans="1:3" x14ac:dyDescent="0.3">
      <c r="A13" s="27" t="s">
        <v>2</v>
      </c>
      <c r="B13" s="20">
        <v>599203</v>
      </c>
      <c r="C13" s="28">
        <v>317224</v>
      </c>
    </row>
    <row r="14" spans="1:3" x14ac:dyDescent="0.3">
      <c r="A14" s="26"/>
      <c r="B14" s="6"/>
      <c r="C14" s="7"/>
    </row>
    <row r="15" spans="1:3" x14ac:dyDescent="0.3">
      <c r="A15" s="8" t="s">
        <v>77</v>
      </c>
      <c r="B15" s="6">
        <v>0</v>
      </c>
      <c r="C15" s="7">
        <v>550</v>
      </c>
    </row>
    <row r="16" spans="1:3" x14ac:dyDescent="0.3">
      <c r="A16" s="8" t="s">
        <v>75</v>
      </c>
      <c r="B16" s="6">
        <v>0</v>
      </c>
      <c r="C16" s="7">
        <v>1500000</v>
      </c>
    </row>
    <row r="17" spans="1:3" x14ac:dyDescent="0.3">
      <c r="A17" s="8" t="s">
        <v>74</v>
      </c>
      <c r="B17" s="6">
        <v>0</v>
      </c>
      <c r="C17" s="7">
        <v>125034</v>
      </c>
    </row>
    <row r="18" spans="1:3" x14ac:dyDescent="0.3">
      <c r="A18" s="8" t="s">
        <v>43</v>
      </c>
      <c r="B18" s="6">
        <v>0</v>
      </c>
      <c r="C18" s="7">
        <v>0</v>
      </c>
    </row>
    <row r="19" spans="1:3" x14ac:dyDescent="0.3">
      <c r="A19" s="8" t="s">
        <v>47</v>
      </c>
      <c r="B19" s="6">
        <v>0</v>
      </c>
      <c r="C19" s="7">
        <v>0</v>
      </c>
    </row>
    <row r="20" spans="1:3" x14ac:dyDescent="0.3">
      <c r="A20" s="8" t="s">
        <v>26</v>
      </c>
      <c r="B20" s="6">
        <v>18000</v>
      </c>
      <c r="C20" s="7">
        <v>108000</v>
      </c>
    </row>
    <row r="21" spans="1:3" x14ac:dyDescent="0.3">
      <c r="A21" s="8" t="s">
        <v>44</v>
      </c>
      <c r="B21" s="41">
        <v>0</v>
      </c>
      <c r="C21" s="7">
        <v>5000</v>
      </c>
    </row>
    <row r="22" spans="1:3" x14ac:dyDescent="0.3">
      <c r="A22" s="8" t="s">
        <v>63</v>
      </c>
      <c r="B22" s="41">
        <v>0</v>
      </c>
      <c r="C22" s="7"/>
    </row>
    <row r="23" spans="1:3" x14ac:dyDescent="0.3">
      <c r="A23" s="8" t="s">
        <v>25</v>
      </c>
      <c r="B23" s="41">
        <v>120000</v>
      </c>
      <c r="C23" s="7">
        <v>170000</v>
      </c>
    </row>
    <row r="24" spans="1:3" x14ac:dyDescent="0.3">
      <c r="A24" s="8" t="s">
        <v>27</v>
      </c>
      <c r="B24" s="41">
        <v>4000</v>
      </c>
      <c r="C24" s="7">
        <v>6100</v>
      </c>
    </row>
    <row r="25" spans="1:3" x14ac:dyDescent="0.3">
      <c r="A25" s="8" t="s">
        <v>28</v>
      </c>
      <c r="B25" s="6">
        <v>136609</v>
      </c>
      <c r="C25" s="7">
        <v>659292</v>
      </c>
    </row>
    <row r="26" spans="1:3" x14ac:dyDescent="0.3">
      <c r="A26" s="8" t="s">
        <v>68</v>
      </c>
      <c r="B26" s="6">
        <v>145874</v>
      </c>
      <c r="C26" s="7">
        <v>863244</v>
      </c>
    </row>
    <row r="27" spans="1:3" x14ac:dyDescent="0.3">
      <c r="A27" s="8" t="s">
        <v>48</v>
      </c>
      <c r="B27" s="6">
        <v>0</v>
      </c>
      <c r="C27" s="7">
        <v>62499</v>
      </c>
    </row>
    <row r="28" spans="1:3" x14ac:dyDescent="0.3">
      <c r="A28" s="8" t="s">
        <v>57</v>
      </c>
      <c r="B28" s="41">
        <v>0</v>
      </c>
      <c r="C28" s="7">
        <v>263030</v>
      </c>
    </row>
    <row r="29" spans="1:3" x14ac:dyDescent="0.3">
      <c r="A29" s="8" t="s">
        <v>59</v>
      </c>
      <c r="B29" s="41">
        <v>0</v>
      </c>
      <c r="C29" s="7">
        <v>0</v>
      </c>
    </row>
    <row r="30" spans="1:3" x14ac:dyDescent="0.3">
      <c r="A30" s="8" t="s">
        <v>94</v>
      </c>
      <c r="B30" s="6">
        <v>13500</v>
      </c>
      <c r="C30" s="7">
        <v>87500</v>
      </c>
    </row>
    <row r="31" spans="1:3" x14ac:dyDescent="0.3">
      <c r="A31" s="8" t="s">
        <v>93</v>
      </c>
      <c r="B31" s="6">
        <v>0</v>
      </c>
      <c r="C31" s="7">
        <v>29000</v>
      </c>
    </row>
    <row r="32" spans="1:3" x14ac:dyDescent="0.3">
      <c r="A32" s="8" t="s">
        <v>103</v>
      </c>
      <c r="B32" s="41">
        <v>417</v>
      </c>
      <c r="C32" s="7">
        <v>417</v>
      </c>
    </row>
    <row r="33" spans="1:4" x14ac:dyDescent="0.3">
      <c r="A33" s="27" t="s">
        <v>1</v>
      </c>
      <c r="B33" s="42">
        <v>438400</v>
      </c>
      <c r="C33" s="28">
        <v>3879666</v>
      </c>
      <c r="D33" s="2"/>
    </row>
    <row r="34" spans="1:4" x14ac:dyDescent="0.3">
      <c r="A34" s="8"/>
      <c r="B34" s="41"/>
      <c r="C34" s="7"/>
    </row>
    <row r="35" spans="1:4" s="36" customFormat="1" x14ac:dyDescent="0.3">
      <c r="A35" s="27" t="s">
        <v>8</v>
      </c>
      <c r="B35" s="42">
        <v>1037603</v>
      </c>
      <c r="C35" s="28">
        <v>4196890</v>
      </c>
    </row>
    <row r="36" spans="1:4" x14ac:dyDescent="0.3">
      <c r="A36" s="8"/>
      <c r="B36" s="43"/>
      <c r="C36" s="25"/>
    </row>
    <row r="37" spans="1:4" x14ac:dyDescent="0.3">
      <c r="A37" s="26" t="s">
        <v>6</v>
      </c>
      <c r="B37" s="43"/>
      <c r="C37" s="25"/>
    </row>
    <row r="38" spans="1:4" x14ac:dyDescent="0.3">
      <c r="A38" s="8" t="s">
        <v>53</v>
      </c>
      <c r="B38" s="41">
        <v>0</v>
      </c>
      <c r="C38" s="7">
        <v>0</v>
      </c>
    </row>
    <row r="39" spans="1:4" x14ac:dyDescent="0.3">
      <c r="A39" s="8" t="s">
        <v>77</v>
      </c>
      <c r="B39" s="41">
        <v>0</v>
      </c>
      <c r="C39" s="7">
        <v>0</v>
      </c>
    </row>
    <row r="40" spans="1:4" x14ac:dyDescent="0.3">
      <c r="A40" s="8" t="s">
        <v>21</v>
      </c>
      <c r="B40" s="41">
        <v>0</v>
      </c>
      <c r="C40" s="7">
        <v>6000</v>
      </c>
    </row>
    <row r="41" spans="1:4" x14ac:dyDescent="0.3">
      <c r="A41" s="8" t="s">
        <v>12</v>
      </c>
      <c r="B41" s="41">
        <v>466</v>
      </c>
      <c r="C41" s="7">
        <v>961</v>
      </c>
    </row>
    <row r="42" spans="1:4" x14ac:dyDescent="0.3">
      <c r="A42" s="8" t="s">
        <v>34</v>
      </c>
      <c r="B42" s="41">
        <v>0</v>
      </c>
      <c r="C42" s="7">
        <v>0</v>
      </c>
    </row>
    <row r="43" spans="1:4" x14ac:dyDescent="0.3">
      <c r="A43" s="8" t="s">
        <v>62</v>
      </c>
      <c r="B43" s="6">
        <v>13701</v>
      </c>
      <c r="C43" s="7">
        <v>48827</v>
      </c>
    </row>
    <row r="44" spans="1:4" x14ac:dyDescent="0.3">
      <c r="A44" s="8" t="s">
        <v>66</v>
      </c>
      <c r="B44" s="6">
        <v>0</v>
      </c>
      <c r="C44" s="7">
        <v>7847</v>
      </c>
    </row>
    <row r="45" spans="1:4" x14ac:dyDescent="0.3">
      <c r="A45" s="37" t="s">
        <v>72</v>
      </c>
      <c r="B45" s="41">
        <v>0</v>
      </c>
      <c r="C45" s="7">
        <v>2340225</v>
      </c>
    </row>
    <row r="46" spans="1:4" x14ac:dyDescent="0.3">
      <c r="A46" s="8" t="s">
        <v>69</v>
      </c>
      <c r="B46" s="41">
        <v>1600</v>
      </c>
      <c r="C46" s="7">
        <v>7914</v>
      </c>
    </row>
    <row r="47" spans="1:4" x14ac:dyDescent="0.3">
      <c r="A47" s="40" t="s">
        <v>67</v>
      </c>
      <c r="B47" s="41">
        <v>0</v>
      </c>
      <c r="C47" s="7">
        <v>0</v>
      </c>
    </row>
    <row r="48" spans="1:4" x14ac:dyDescent="0.3">
      <c r="A48" s="8" t="s">
        <v>51</v>
      </c>
      <c r="B48" s="41">
        <v>0</v>
      </c>
      <c r="C48" s="7">
        <v>0</v>
      </c>
    </row>
    <row r="49" spans="1:3" x14ac:dyDescent="0.3">
      <c r="A49" s="8" t="s">
        <v>82</v>
      </c>
      <c r="B49" s="44">
        <v>1500</v>
      </c>
      <c r="C49" s="7">
        <v>11349</v>
      </c>
    </row>
    <row r="50" spans="1:3" x14ac:dyDescent="0.3">
      <c r="A50" s="8" t="s">
        <v>29</v>
      </c>
      <c r="B50" s="44">
        <v>0</v>
      </c>
      <c r="C50" s="7">
        <v>48037</v>
      </c>
    </row>
    <row r="51" spans="1:3" x14ac:dyDescent="0.3">
      <c r="A51" s="8" t="s">
        <v>64</v>
      </c>
      <c r="B51" s="44">
        <v>0</v>
      </c>
      <c r="C51" s="7">
        <v>0</v>
      </c>
    </row>
    <row r="52" spans="1:3" x14ac:dyDescent="0.3">
      <c r="A52" s="8" t="s">
        <v>52</v>
      </c>
      <c r="B52" s="44">
        <v>0</v>
      </c>
      <c r="C52" s="7">
        <v>5000</v>
      </c>
    </row>
    <row r="53" spans="1:3" x14ac:dyDescent="0.3">
      <c r="A53" s="8" t="s">
        <v>31</v>
      </c>
      <c r="B53" s="6">
        <v>0</v>
      </c>
      <c r="C53" s="7">
        <v>1900</v>
      </c>
    </row>
    <row r="54" spans="1:3" x14ac:dyDescent="0.3">
      <c r="A54" s="8" t="s">
        <v>48</v>
      </c>
      <c r="B54" s="6">
        <v>6200</v>
      </c>
      <c r="C54" s="7">
        <v>13997</v>
      </c>
    </row>
    <row r="55" spans="1:3" x14ac:dyDescent="0.3">
      <c r="A55" s="8" t="s">
        <v>96</v>
      </c>
      <c r="B55" s="41">
        <v>178660</v>
      </c>
      <c r="C55" s="7">
        <v>251261</v>
      </c>
    </row>
    <row r="56" spans="1:3" x14ac:dyDescent="0.3">
      <c r="A56" s="8" t="s">
        <v>32</v>
      </c>
      <c r="B56" s="6">
        <v>1429</v>
      </c>
      <c r="C56" s="7">
        <v>8831</v>
      </c>
    </row>
    <row r="57" spans="1:3" x14ac:dyDescent="0.3">
      <c r="A57" s="8" t="s">
        <v>33</v>
      </c>
      <c r="B57" s="6">
        <v>0</v>
      </c>
      <c r="C57" s="7">
        <v>59000</v>
      </c>
    </row>
    <row r="58" spans="1:3" x14ac:dyDescent="0.3">
      <c r="A58" s="8" t="s">
        <v>90</v>
      </c>
      <c r="B58" s="6">
        <v>0</v>
      </c>
      <c r="C58" s="7">
        <v>241046</v>
      </c>
    </row>
    <row r="59" spans="1:3" x14ac:dyDescent="0.3">
      <c r="A59" s="8" t="s">
        <v>37</v>
      </c>
      <c r="B59" s="41">
        <v>24406</v>
      </c>
      <c r="C59" s="7">
        <v>279448</v>
      </c>
    </row>
    <row r="60" spans="1:3" x14ac:dyDescent="0.3">
      <c r="A60" s="8" t="s">
        <v>60</v>
      </c>
      <c r="B60" s="41">
        <v>10000</v>
      </c>
      <c r="C60" s="7">
        <v>10000</v>
      </c>
    </row>
    <row r="61" spans="1:3" x14ac:dyDescent="0.3">
      <c r="A61" s="8" t="s">
        <v>91</v>
      </c>
      <c r="B61" s="41">
        <v>0</v>
      </c>
      <c r="C61" s="7">
        <v>6041</v>
      </c>
    </row>
    <row r="62" spans="1:3" x14ac:dyDescent="0.3">
      <c r="A62" s="8" t="s">
        <v>30</v>
      </c>
      <c r="B62" s="41">
        <v>0</v>
      </c>
      <c r="C62" s="7">
        <v>49565</v>
      </c>
    </row>
    <row r="63" spans="1:3" x14ac:dyDescent="0.3">
      <c r="A63" s="8" t="s">
        <v>73</v>
      </c>
      <c r="B63" s="41">
        <v>0</v>
      </c>
      <c r="C63" s="7">
        <v>0</v>
      </c>
    </row>
    <row r="64" spans="1:3" x14ac:dyDescent="0.3">
      <c r="A64" s="8" t="s">
        <v>81</v>
      </c>
      <c r="B64" s="41">
        <v>0</v>
      </c>
      <c r="C64" s="7">
        <v>0</v>
      </c>
    </row>
    <row r="65" spans="1:4" x14ac:dyDescent="0.3">
      <c r="A65" s="3" t="s">
        <v>102</v>
      </c>
      <c r="B65" s="41">
        <v>2958</v>
      </c>
      <c r="C65" s="7">
        <v>2958</v>
      </c>
    </row>
    <row r="66" spans="1:4" s="36" customFormat="1" x14ac:dyDescent="0.3">
      <c r="A66" s="27" t="s">
        <v>7</v>
      </c>
      <c r="B66" s="42">
        <v>240920</v>
      </c>
      <c r="C66" s="28">
        <v>3400207</v>
      </c>
      <c r="D66" s="9"/>
    </row>
    <row r="67" spans="1:4" x14ac:dyDescent="0.3">
      <c r="A67" s="8"/>
      <c r="B67" s="43"/>
      <c r="C67" s="25"/>
    </row>
    <row r="68" spans="1:4" x14ac:dyDescent="0.3">
      <c r="A68" s="26" t="s">
        <v>13</v>
      </c>
      <c r="B68" s="43"/>
      <c r="C68" s="25"/>
    </row>
    <row r="69" spans="1:4" x14ac:dyDescent="0.3">
      <c r="A69" s="8" t="s">
        <v>10</v>
      </c>
      <c r="B69" s="41">
        <v>34704</v>
      </c>
      <c r="C69" s="7">
        <v>34704</v>
      </c>
    </row>
    <row r="70" spans="1:4" x14ac:dyDescent="0.3">
      <c r="A70" s="8" t="s">
        <v>11</v>
      </c>
      <c r="B70" s="41">
        <v>761979</v>
      </c>
      <c r="C70" s="7">
        <v>761979</v>
      </c>
    </row>
    <row r="71" spans="1:4" x14ac:dyDescent="0.3">
      <c r="A71" s="27" t="s">
        <v>46</v>
      </c>
      <c r="B71" s="42">
        <v>796683</v>
      </c>
      <c r="C71" s="28">
        <v>796683</v>
      </c>
    </row>
    <row r="72" spans="1:4" ht="14.5" thickBot="1" x14ac:dyDescent="0.35">
      <c r="A72" s="29"/>
      <c r="B72" s="45"/>
      <c r="C72" s="30"/>
    </row>
    <row r="73" spans="1:4" ht="14.5" thickBot="1" x14ac:dyDescent="0.35">
      <c r="A73" s="31" t="s">
        <v>45</v>
      </c>
      <c r="B73" s="46">
        <v>1037603</v>
      </c>
      <c r="C73" s="32">
        <v>4196890</v>
      </c>
    </row>
    <row r="74" spans="1:4" ht="14.5" thickTop="1" x14ac:dyDescent="0.3"/>
    <row r="75" spans="1:4" x14ac:dyDescent="0.3">
      <c r="B75" s="2"/>
    </row>
    <row r="76" spans="1:4" x14ac:dyDescent="0.3">
      <c r="A76" s="1" t="s">
        <v>98</v>
      </c>
      <c r="B76" s="50" t="s">
        <v>86</v>
      </c>
      <c r="C76" s="50"/>
    </row>
    <row r="77" spans="1:4" x14ac:dyDescent="0.3">
      <c r="A77" s="1" t="s">
        <v>99</v>
      </c>
      <c r="B77" s="50" t="s">
        <v>100</v>
      </c>
      <c r="C77" s="50"/>
    </row>
  </sheetData>
  <sortState xmlns:xlrd2="http://schemas.microsoft.com/office/spreadsheetml/2017/richdata2" ref="A39:C66">
    <sortCondition ref="A39"/>
  </sortState>
  <mergeCells count="7">
    <mergeCell ref="B76:C76"/>
    <mergeCell ref="B77:C77"/>
    <mergeCell ref="A5:C5"/>
    <mergeCell ref="A1:C1"/>
    <mergeCell ref="A2:C2"/>
    <mergeCell ref="A3:C3"/>
    <mergeCell ref="A4:C4"/>
  </mergeCells>
  <phoneticPr fontId="2" type="noConversion"/>
  <printOptions horizontalCentered="1"/>
  <pageMargins left="0.75" right="0.5" top="1" bottom="0.5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Balance Sheet</vt:lpstr>
      <vt:lpstr>I &amp; E </vt:lpstr>
      <vt:lpstr>R &amp; P</vt:lpstr>
      <vt:lpstr>'R &amp; 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psks</dc:creator>
  <cp:lastModifiedBy>Kamruzzaman Zaman</cp:lastModifiedBy>
  <cp:lastPrinted>2026-07-26T14:14:22Z</cp:lastPrinted>
  <dcterms:created xsi:type="dcterms:W3CDTF">2004-07-10T00:41:24Z</dcterms:created>
  <dcterms:modified xsi:type="dcterms:W3CDTF">2026-07-27T07:02:00Z</dcterms:modified>
</cp:coreProperties>
</file>